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My Project\"/>
    </mc:Choice>
  </mc:AlternateContent>
  <xr:revisionPtr revIDLastSave="0" documentId="13_ncr:1_{B234A92A-D067-4E01-822B-4E859227D8D8}" xr6:coauthVersionLast="47" xr6:coauthVersionMax="47" xr10:uidLastSave="{00000000-0000-0000-0000-000000000000}"/>
  <bookViews>
    <workbookView xWindow="-108" yWindow="-108" windowWidth="23256" windowHeight="12456" firstSheet="1" activeTab="3" xr2:uid="{F5D4DA51-6B57-463E-AB13-B87B4E9ADB1F}"/>
  </bookViews>
  <sheets>
    <sheet name="WA_Fn-UseC_-HR-Employee-Attriti" sheetId="2" r:id="rId1"/>
    <sheet name="Pivot table" sheetId="3" r:id="rId2"/>
    <sheet name="Dashboard" sheetId="4" r:id="rId3"/>
    <sheet name="Dashboard (2)" sheetId="10" r:id="rId4"/>
  </sheets>
  <definedNames>
    <definedName name="_xlcn.WorksheetConnection_Book1WA_Fn_UseC__HR_Employee_Attrition1" hidden="1">WA_Fn_UseC__HR_Employee_Attrition[]</definedName>
    <definedName name="ExternalData_1" localSheetId="0" hidden="1">'WA_Fn-UseC_-HR-Employee-Attriti'!$A$1:$AI$1471</definedName>
    <definedName name="Slicer_Department">#N/A</definedName>
    <definedName name="Slicer_EducationField">#N/A</definedName>
    <definedName name="Slicer_JobRole">#N/A</definedName>
  </definedNames>
  <calcPr calcId="191029"/>
  <pivotCaches>
    <pivotCache cacheId="1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WA_Fn_UseC__HR_Employee_Attrition" name="WA_Fn_UseC__HR_Employee_Attrition" connection="WorksheetConnection_Book1!WA_Fn_UseC__HR_Employee_Attrition"/>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 i="3" l="1"/>
  <c r="L4" i="3" l="1"/>
  <c r="L5" i="3"/>
  <c r="M5" i="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297C3D9-41B7-40F9-A691-0BC58715777E}" keepAlive="1" name="Query - WA_Fn-UseC_-HR-Employee-Attrition" description="Connection to the 'WA_Fn-UseC_-HR-Employee-Attrition' query in the workbook." type="5" refreshedVersion="8" background="1" saveData="1">
    <dbPr connection="Provider=Microsoft.Mashup.OleDb.1;Data Source=$Workbook$;Location=WA_Fn-UseC_-HR-Employee-Attrition;Extended Properties=&quot;&quot;" command="SELECT * FROM [WA_Fn-UseC_-HR-Employee-Attrition]"/>
  </connection>
  <connection id="2" xr16:uid="{2405F70D-A6F3-41C3-B7AC-8C64C91E446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BA6E844D-A6BD-46CE-961E-BE59B776A6C6}" name="WorksheetConnection_Book1!WA_Fn_UseC__HR_Employee_Attrition" type="102" refreshedVersion="8" minRefreshableVersion="5">
    <extLst>
      <ext xmlns:x15="http://schemas.microsoft.com/office/spreadsheetml/2010/11/main" uri="{DE250136-89BD-433C-8126-D09CA5730AF9}">
        <x15:connection id="WA_Fn_UseC__HR_Employee_Attrition">
          <x15:rangePr sourceName="_xlcn.WorksheetConnection_Book1WA_Fn_UseC__HR_Employee_Attrition1"/>
        </x15:connection>
      </ext>
    </extLst>
  </connection>
</connections>
</file>

<file path=xl/sharedStrings.xml><?xml version="1.0" encoding="utf-8"?>
<sst xmlns="http://schemas.openxmlformats.org/spreadsheetml/2006/main" count="13398" uniqueCount="111">
  <si>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</si>
  <si>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</si>
  <si>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</si>
  <si>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</si>
  <si>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</si>
  <si>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</si>
  <si>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</si>
  <si>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</si>
  <si>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</si>
  <si>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</si>
  <si>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</si>
  <si>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</si>
  <si>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</si>
  <si>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</si>
  <si>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</si>
  <si>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</si>
  <si>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</si>
  <si>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</si>
  <si>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</si>
  <si>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</si>
  <si>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</si>
  <si>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</si>
  <si>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</si>
  <si>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</si>
  <si>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</si>
  <si>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</si>
  <si>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</si>
  <si>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</si>
  <si>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</si>
  <si>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</si>
  <si>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</si>
  <si>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</si>
  <si>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</si>
  <si>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</si>
  <si>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</si>
  <si>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</si>
  <si>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</si>
  <si>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</si>
  <si>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</si>
  <si>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</si>
  <si>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</si>
  <si>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</si>
  <si>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</si>
  <si>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</si>
  <si>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</si>
  <si>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</si>
  <si>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</si>
  <si>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</si>
  <si>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</si>
  <si>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</si>
  <si>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</si>
  <si>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</si>
  <si>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</si>
  <si>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</si>
  <si>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</si>
  <si>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</si>
  <si>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</si>
  <si>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</si>
  <si>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</si>
  <si>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</si>
  <si>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</si>
  <si>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</si>
  <si>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Row Labels</t>
  </si>
  <si>
    <t>Grand Total</t>
  </si>
  <si>
    <t>Average of Age</t>
  </si>
  <si>
    <t>Count of Attrition</t>
  </si>
  <si>
    <t>Sum of EmployeeCount</t>
  </si>
  <si>
    <t>Column Labels</t>
  </si>
  <si>
    <t>1-5</t>
  </si>
  <si>
    <t>6-10</t>
  </si>
  <si>
    <t>11-15</t>
  </si>
  <si>
    <t>16-20</t>
  </si>
  <si>
    <t>21-25</t>
  </si>
  <si>
    <t>26-30</t>
  </si>
  <si>
    <t>0-2</t>
  </si>
  <si>
    <t>3-5</t>
  </si>
  <si>
    <t>6-8</t>
  </si>
  <si>
    <t>9-11</t>
  </si>
  <si>
    <t>12-15</t>
  </si>
  <si>
    <t>Average of JobSatisfaction</t>
  </si>
  <si>
    <t xml:space="preserve">raiting </t>
  </si>
  <si>
    <t>balance raiting</t>
  </si>
  <si>
    <t>12-14</t>
  </si>
  <si>
    <t>15-17</t>
  </si>
  <si>
    <t>Average of MonthlyIncome</t>
  </si>
  <si>
    <t>18-27</t>
  </si>
  <si>
    <t>28-37</t>
  </si>
  <si>
    <t>38-47</t>
  </si>
  <si>
    <t>48-57</t>
  </si>
  <si>
    <t>58-67</t>
  </si>
  <si>
    <t>Count of Attrition2</t>
  </si>
  <si>
    <t>1009-4008</t>
  </si>
  <si>
    <t>4009-7008</t>
  </si>
  <si>
    <t>7009-10008</t>
  </si>
  <si>
    <t>10009-13008</t>
  </si>
  <si>
    <t>13009-16008</t>
  </si>
  <si>
    <t>16009-19008</t>
  </si>
  <si>
    <t>19009-22008</t>
  </si>
  <si>
    <t>30-49</t>
  </si>
  <si>
    <t>50-69</t>
  </si>
  <si>
    <t>70-89</t>
  </si>
  <si>
    <t>90-109</t>
  </si>
  <si>
    <t>Distance</t>
  </si>
  <si>
    <t>attrition for job</t>
  </si>
  <si>
    <t>attrition by jop promotition</t>
  </si>
  <si>
    <t xml:space="preserve"> Attrition for over time</t>
  </si>
  <si>
    <t>Business travel</t>
  </si>
  <si>
    <t>monthly income</t>
  </si>
  <si>
    <t>years with manager</t>
  </si>
  <si>
    <t>attrition</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</si>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</sst>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pivotButton="1"/>
    <xf numFmtId="0" fontId="0" fillId="0" borderId="0" xfId="0" applyAlignment="1">
      <alignment horizontal="left"/>
    </xf>
    <xf numFmtId="164" fontId="0" fillId="0" borderId="0" xfId="0" applyNumberFormat="1"/>
    <xf numFmtId="1" fontId="0" fillId="0" borderId="0" xfId="0" applyNumberFormat="1"/>
    <xf numFmtId="10" fontId="0" fillId="0" borderId="0" xfId="0" applyNumberFormat="1"/>
    <xf numFmtId="0" fontId="0" fillId="2" borderId="0" xfId="0" applyFill="1"/>
    <xf numFmtId="0" fontId="1" fillId="0" borderId="0" xfId="0" applyFont="1"/>
    <xf numFmtId="0" fontId="0" fillId="0" borderId="0" xfId="0" applyNumberFormat="1"/>
  </cellXfs>
  <cellStyles count="1">
    <cellStyle name="Normal" xfId="0" builtinId="0"/>
  </cellStyles>
  <dxfs count="603">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1" formatCode="0"/>
    </dxf>
    <dxf>
      <numFmt numFmtId="14" formatCode="0.00%"/>
    </dxf>
    <dxf>
      <numFmt numFmtId="1" formatCode="0"/>
    </dxf>
    <dxf>
      <numFmt numFmtId="1" formatCode="0"/>
    </dxf>
    <dxf>
      <numFmt numFmtId="1" formatCode="0"/>
    </dxf>
    <dxf>
      <numFmt numFmtId="164" formatCode="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color theme="1"/>
      </font>
      <fill>
        <patternFill>
          <bgColor rgb="FF1A3C6C"/>
        </patternFill>
      </fill>
      <border>
        <bottom style="thin">
          <color theme="7"/>
        </bottom>
        <vertical/>
        <horizontal/>
      </border>
    </dxf>
    <dxf>
      <font>
        <color theme="1"/>
      </font>
      <border>
        <left style="thin">
          <color theme="7"/>
        </left>
        <right style="thin">
          <color theme="7"/>
        </right>
        <top style="thin">
          <color theme="7"/>
        </top>
        <bottom style="thin">
          <color theme="7"/>
        </bottom>
        <vertical/>
        <horizontal/>
      </border>
    </dxf>
    <dxf>
      <font>
        <color theme="0"/>
      </font>
      <fill>
        <patternFill>
          <bgColor rgb="FF1A3C6C"/>
        </patternFill>
      </fill>
      <border>
        <bottom style="thin">
          <color theme="4"/>
        </bottom>
        <vertical/>
        <horizontal/>
      </border>
    </dxf>
    <dxf>
      <font>
        <color theme="1"/>
      </font>
      <border diagonalUp="0" diagonalDown="0">
        <left/>
        <right/>
        <top/>
        <bottom/>
        <vertical/>
        <horizontal/>
      </border>
    </dxf>
    <dxf>
      <font>
        <b/>
        <color theme="1"/>
      </font>
      <fill>
        <patternFill>
          <bgColor rgb="FF1A3C6C"/>
        </patternFill>
      </fill>
      <border>
        <bottom style="thin">
          <color theme="4"/>
        </bottom>
        <vertical/>
        <horizontal/>
      </border>
    </dxf>
    <dxf>
      <font>
        <color theme="0"/>
      </font>
      <border diagonalUp="0" diagonalDown="0">
        <left/>
        <right/>
        <top/>
        <bottom/>
        <vertical/>
        <horizontal/>
      </border>
    </dxf>
    <dxf>
      <font>
        <b/>
        <color theme="1"/>
      </font>
      <fill>
        <patternFill>
          <bgColor rgb="FF1A3C6C"/>
        </patternFill>
      </fill>
      <border>
        <bottom style="thin">
          <color theme="4"/>
        </bottom>
        <vertical/>
        <horizontal/>
      </border>
    </dxf>
    <dxf>
      <font>
        <color theme="1"/>
      </font>
      <border diagonalUp="0" diagonalDown="0">
        <left/>
        <right/>
        <top/>
        <bottom/>
        <vertical/>
        <horizontal/>
      </border>
    </dxf>
    <dxf>
      <fill>
        <patternFill>
          <bgColor rgb="FF1A3C6C"/>
        </patternFill>
      </fill>
    </dxf>
  </dxfs>
  <tableStyles count="5" defaultTableStyle="TableStyleMedium2" defaultPivotStyle="PivotStyleLight16">
    <tableStyle name="Slicer Style 1" pivot="0" table="0" count="1" xr9:uid="{B5CA4C47-2246-4DAB-9CED-00ED4D667048}">
      <tableStyleElement type="wholeTable" dxfId="602"/>
    </tableStyle>
    <tableStyle name="SlicerStyleLight1 2" pivot="0" table="0" count="10" xr9:uid="{63268F26-E9A8-4FB5-BBC3-E933EAE3AC1F}">
      <tableStyleElement type="wholeTable" dxfId="601"/>
      <tableStyleElement type="headerRow" dxfId="600"/>
    </tableStyle>
    <tableStyle name="SlicerStyleLight1 2 2" pivot="0" table="0" count="10" xr9:uid="{302ABAFB-E21A-4F4D-AE7F-39061D058587}">
      <tableStyleElement type="wholeTable" dxfId="599"/>
      <tableStyleElement type="headerRow" dxfId="598"/>
    </tableStyle>
    <tableStyle name="SlicerStyleLight1 2 3" pivot="0" table="0" count="10" xr9:uid="{1E26B9FA-6A3A-42B1-872D-A7B740233A26}">
      <tableStyleElement type="wholeTable" dxfId="597"/>
      <tableStyleElement type="headerRow" dxfId="596"/>
    </tableStyle>
    <tableStyle name="SlicerStyleLight4 2" pivot="0" table="0" count="10" xr9:uid="{6B59039D-7B72-4427-BD3D-66FDBBE6D150}">
      <tableStyleElement type="wholeTable" dxfId="595"/>
      <tableStyleElement type="headerRow" dxfId="594"/>
    </tableStyle>
  </tableStyles>
  <colors>
    <mruColors>
      <color rgb="FF4A4A4A"/>
      <color rgb="FF1A3C6C"/>
      <color rgb="FFA3B1C6"/>
      <color rgb="FF1B263B"/>
      <color rgb="FF2A9D8F"/>
      <color rgb="FFF0F2F5"/>
      <color rgb="FFFFFFFF"/>
      <color rgb="FF778DA9"/>
      <color rgb="FFA8B2BD"/>
      <color rgb="FF415A77"/>
    </mruColors>
  </color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tint="-0.14996795556505021"/>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rgb="FF2A9D8F"/>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F0F2F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F0F2F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F0F2F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tyle 1"/>
        <x14:slicerStyle name="SlicerStyleLight1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1 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powerPivotData" Target="model/item.data"/><Relationship Id="rId18" Type="http://schemas.openxmlformats.org/officeDocument/2006/relationships/customXml" Target="../customXml/item4.xml"/><Relationship Id="rId26" Type="http://schemas.openxmlformats.org/officeDocument/2006/relationships/customXml" Target="../customXml/item12.xml"/><Relationship Id="rId3" Type="http://schemas.openxmlformats.org/officeDocument/2006/relationships/worksheet" Target="worksheets/sheet3.xml"/><Relationship Id="rId21" Type="http://schemas.openxmlformats.org/officeDocument/2006/relationships/customXml" Target="../customXml/item7.xml"/><Relationship Id="rId7" Type="http://schemas.microsoft.com/office/2007/relationships/slicerCache" Target="slicerCaches/slicerCache2.xml"/><Relationship Id="rId12" Type="http://schemas.openxmlformats.org/officeDocument/2006/relationships/sharedStrings" Target="sharedStrings.xml"/><Relationship Id="rId17" Type="http://schemas.openxmlformats.org/officeDocument/2006/relationships/customXml" Target="../customXml/item3.xml"/><Relationship Id="rId25" Type="http://schemas.openxmlformats.org/officeDocument/2006/relationships/customXml" Target="../customXml/item11.xml"/><Relationship Id="rId2" Type="http://schemas.openxmlformats.org/officeDocument/2006/relationships/worksheet" Target="worksheets/sheet2.xml"/><Relationship Id="rId16" Type="http://schemas.openxmlformats.org/officeDocument/2006/relationships/customXml" Target="../customXml/item2.xml"/><Relationship Id="rId20" Type="http://schemas.openxmlformats.org/officeDocument/2006/relationships/customXml" Target="../customXml/item6.xml"/><Relationship Id="rId29" Type="http://schemas.openxmlformats.org/officeDocument/2006/relationships/customXml" Target="../customXml/item15.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24" Type="http://schemas.openxmlformats.org/officeDocument/2006/relationships/customXml" Target="../customXml/item10.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23" Type="http://schemas.openxmlformats.org/officeDocument/2006/relationships/customXml" Target="../customXml/item9.xml"/><Relationship Id="rId28" Type="http://schemas.openxmlformats.org/officeDocument/2006/relationships/customXml" Target="../customXml/item14.xml"/><Relationship Id="rId10" Type="http://schemas.openxmlformats.org/officeDocument/2006/relationships/connections" Target="connections.xml"/><Relationship Id="rId19" Type="http://schemas.openxmlformats.org/officeDocument/2006/relationships/customXml" Target="../customXml/item5.xml"/><Relationship Id="rId31"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 Id="rId22" Type="http://schemas.openxmlformats.org/officeDocument/2006/relationships/customXml" Target="../customXml/item8.xml"/><Relationship Id="rId27" Type="http://schemas.openxmlformats.org/officeDocument/2006/relationships/customXml" Target="../customXml/item13.xml"/><Relationship Id="rId30"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analysis.xlsx]Pivot table!PivotTable25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table'!$L$45:$L$46</c:f>
              <c:strCache>
                <c:ptCount val="1"/>
                <c:pt idx="0">
                  <c:v>Yes</c:v>
                </c:pt>
              </c:strCache>
            </c:strRef>
          </c:tx>
          <c:spPr>
            <a:solidFill>
              <a:schemeClr val="accent1"/>
            </a:solidFill>
            <a:ln>
              <a:noFill/>
            </a:ln>
            <a:effectLst/>
          </c:spPr>
          <c:invertIfNegative val="0"/>
          <c:cat>
            <c:strRef>
              <c:f>'Pivot table'!$K$47:$K$55</c:f>
              <c:strCache>
                <c:ptCount val="9"/>
                <c:pt idx="0">
                  <c:v>Laboratory Technician</c:v>
                </c:pt>
                <c:pt idx="1">
                  <c:v>Sales Executive</c:v>
                </c:pt>
                <c:pt idx="2">
                  <c:v>Research Scientist</c:v>
                </c:pt>
                <c:pt idx="3">
                  <c:v>Sales Representative</c:v>
                </c:pt>
                <c:pt idx="4">
                  <c:v>Human Resources</c:v>
                </c:pt>
                <c:pt idx="5">
                  <c:v>Manufacturing Director</c:v>
                </c:pt>
                <c:pt idx="6">
                  <c:v>Healthcare Representative</c:v>
                </c:pt>
                <c:pt idx="7">
                  <c:v>Manager</c:v>
                </c:pt>
                <c:pt idx="8">
                  <c:v>Research Director</c:v>
                </c:pt>
              </c:strCache>
            </c:strRef>
          </c:cat>
          <c:val>
            <c:numRef>
              <c:f>'Pivot table'!$L$47:$L$55</c:f>
              <c:numCache>
                <c:formatCode>General</c:formatCode>
                <c:ptCount val="9"/>
                <c:pt idx="0">
                  <c:v>62</c:v>
                </c:pt>
                <c:pt idx="1">
                  <c:v>57</c:v>
                </c:pt>
                <c:pt idx="2">
                  <c:v>47</c:v>
                </c:pt>
                <c:pt idx="3">
                  <c:v>33</c:v>
                </c:pt>
                <c:pt idx="4">
                  <c:v>12</c:v>
                </c:pt>
                <c:pt idx="5">
                  <c:v>10</c:v>
                </c:pt>
                <c:pt idx="6">
                  <c:v>9</c:v>
                </c:pt>
                <c:pt idx="7">
                  <c:v>5</c:v>
                </c:pt>
                <c:pt idx="8">
                  <c:v>2</c:v>
                </c:pt>
              </c:numCache>
            </c:numRef>
          </c:val>
          <c:extLst>
            <c:ext xmlns:c16="http://schemas.microsoft.com/office/drawing/2014/chart" uri="{C3380CC4-5D6E-409C-BE32-E72D297353CC}">
              <c16:uniqueId val="{00000006-CDCB-4747-91B8-7002031F18C9}"/>
            </c:ext>
          </c:extLst>
        </c:ser>
        <c:dLbls>
          <c:showLegendKey val="0"/>
          <c:showVal val="0"/>
          <c:showCatName val="0"/>
          <c:showSerName val="0"/>
          <c:showPercent val="0"/>
          <c:showBubbleSize val="0"/>
        </c:dLbls>
        <c:gapWidth val="219"/>
        <c:axId val="1717964824"/>
        <c:axId val="1717965544"/>
      </c:barChart>
      <c:catAx>
        <c:axId val="1717964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965544"/>
        <c:crosses val="autoZero"/>
        <c:auto val="1"/>
        <c:lblAlgn val="ctr"/>
        <c:lblOffset val="100"/>
        <c:noMultiLvlLbl val="0"/>
      </c:catAx>
      <c:valAx>
        <c:axId val="17179655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964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analysis.xlsx]Pivot table!PivotTable27</c:name>
    <c:fmtId val="0"/>
  </c:pivotSource>
  <c:chart>
    <c:title>
      <c:tx>
        <c:rich>
          <a:bodyPr rot="0" spcFirstLastPara="1" vertOverflow="ellipsis" vert="horz" wrap="square" anchor="ctr" anchorCtr="1"/>
          <a:lstStyle/>
          <a:p>
            <a:pPr>
              <a:defRPr sz="1400" b="1" i="0" u="none" strike="noStrike" kern="1200" spc="0" baseline="0">
                <a:solidFill>
                  <a:srgbClr val="4A4A4A"/>
                </a:solidFill>
                <a:latin typeface="+mn-lt"/>
                <a:ea typeface="+mn-ea"/>
                <a:cs typeface="+mn-cs"/>
              </a:defRPr>
            </a:pPr>
            <a:r>
              <a:rPr lang="en-US" b="1">
                <a:solidFill>
                  <a:srgbClr val="4A4A4A"/>
                </a:solidFill>
              </a:rPr>
              <a:t>Attrition</a:t>
            </a:r>
            <a:r>
              <a:rPr lang="en-US" b="1" baseline="0">
                <a:solidFill>
                  <a:srgbClr val="4A4A4A"/>
                </a:solidFill>
              </a:rPr>
              <a:t> by Distance</a:t>
            </a:r>
            <a:endParaRPr lang="en-US" b="1">
              <a:solidFill>
                <a:srgbClr val="4A4A4A"/>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4A4A4A"/>
              </a:solidFill>
              <a:latin typeface="+mn-lt"/>
              <a:ea typeface="+mn-ea"/>
              <a:cs typeface="+mn-cs"/>
            </a:defRPr>
          </a:pPr>
          <a:endParaRPr lang="en-US"/>
        </a:p>
      </c:txPr>
    </c:title>
    <c:autoTitleDeleted val="0"/>
    <c:pivotFmts>
      <c:pivotFmt>
        <c:idx val="0"/>
        <c:spPr>
          <a:solidFill>
            <a:srgbClr val="1A3C6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A3B1C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A3C6C"/>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table'!$O$45:$O$46</c:f>
              <c:strCache>
                <c:ptCount val="1"/>
                <c:pt idx="0">
                  <c:v>No</c:v>
                </c:pt>
              </c:strCache>
            </c:strRef>
          </c:tx>
          <c:spPr>
            <a:solidFill>
              <a:srgbClr val="1A3C6C"/>
            </a:solidFill>
            <a:ln>
              <a:noFill/>
            </a:ln>
            <a:effectLst/>
          </c:spPr>
          <c:invertIfNegative val="0"/>
          <c:cat>
            <c:strRef>
              <c:f>'Pivot table'!$N$47:$N$52</c:f>
              <c:strCache>
                <c:ptCount val="6"/>
                <c:pt idx="0">
                  <c:v>1-5</c:v>
                </c:pt>
                <c:pt idx="1">
                  <c:v>6-10</c:v>
                </c:pt>
                <c:pt idx="2">
                  <c:v>11-15</c:v>
                </c:pt>
                <c:pt idx="3">
                  <c:v>16-20</c:v>
                </c:pt>
                <c:pt idx="4">
                  <c:v>21-25</c:v>
                </c:pt>
                <c:pt idx="5">
                  <c:v>26-30</c:v>
                </c:pt>
              </c:strCache>
            </c:strRef>
          </c:cat>
          <c:val>
            <c:numRef>
              <c:f>'Pivot table'!$O$47:$O$52</c:f>
              <c:numCache>
                <c:formatCode>General</c:formatCode>
                <c:ptCount val="6"/>
                <c:pt idx="0">
                  <c:v>545</c:v>
                </c:pt>
                <c:pt idx="1">
                  <c:v>337</c:v>
                </c:pt>
                <c:pt idx="2">
                  <c:v>90</c:v>
                </c:pt>
                <c:pt idx="3">
                  <c:v>102</c:v>
                </c:pt>
                <c:pt idx="4">
                  <c:v>85</c:v>
                </c:pt>
                <c:pt idx="5">
                  <c:v>74</c:v>
                </c:pt>
              </c:numCache>
            </c:numRef>
          </c:val>
          <c:extLst>
            <c:ext xmlns:c16="http://schemas.microsoft.com/office/drawing/2014/chart" uri="{C3380CC4-5D6E-409C-BE32-E72D297353CC}">
              <c16:uniqueId val="{00000000-084B-473C-8255-796991E361F1}"/>
            </c:ext>
          </c:extLst>
        </c:ser>
        <c:ser>
          <c:idx val="1"/>
          <c:order val="1"/>
          <c:tx>
            <c:strRef>
              <c:f>'Pivot table'!$P$45:$P$46</c:f>
              <c:strCache>
                <c:ptCount val="1"/>
                <c:pt idx="0">
                  <c:v>Yes</c:v>
                </c:pt>
              </c:strCache>
            </c:strRef>
          </c:tx>
          <c:spPr>
            <a:solidFill>
              <a:srgbClr val="A3B1C6"/>
            </a:solidFill>
            <a:ln>
              <a:noFill/>
            </a:ln>
            <a:effectLst/>
          </c:spPr>
          <c:invertIfNegative val="0"/>
          <c:cat>
            <c:strRef>
              <c:f>'Pivot table'!$N$47:$N$52</c:f>
              <c:strCache>
                <c:ptCount val="6"/>
                <c:pt idx="0">
                  <c:v>1-5</c:v>
                </c:pt>
                <c:pt idx="1">
                  <c:v>6-10</c:v>
                </c:pt>
                <c:pt idx="2">
                  <c:v>11-15</c:v>
                </c:pt>
                <c:pt idx="3">
                  <c:v>16-20</c:v>
                </c:pt>
                <c:pt idx="4">
                  <c:v>21-25</c:v>
                </c:pt>
                <c:pt idx="5">
                  <c:v>26-30</c:v>
                </c:pt>
              </c:strCache>
            </c:strRef>
          </c:cat>
          <c:val>
            <c:numRef>
              <c:f>'Pivot table'!$P$47:$P$52</c:f>
              <c:numCache>
                <c:formatCode>General</c:formatCode>
                <c:ptCount val="6"/>
                <c:pt idx="0">
                  <c:v>87</c:v>
                </c:pt>
                <c:pt idx="1">
                  <c:v>57</c:v>
                </c:pt>
                <c:pt idx="2">
                  <c:v>25</c:v>
                </c:pt>
                <c:pt idx="3">
                  <c:v>23</c:v>
                </c:pt>
                <c:pt idx="4">
                  <c:v>32</c:v>
                </c:pt>
                <c:pt idx="5">
                  <c:v>13</c:v>
                </c:pt>
              </c:numCache>
            </c:numRef>
          </c:val>
          <c:extLst>
            <c:ext xmlns:c16="http://schemas.microsoft.com/office/drawing/2014/chart" uri="{C3380CC4-5D6E-409C-BE32-E72D297353CC}">
              <c16:uniqueId val="{00000008-084B-473C-8255-796991E361F1}"/>
            </c:ext>
          </c:extLst>
        </c:ser>
        <c:dLbls>
          <c:showLegendKey val="0"/>
          <c:showVal val="0"/>
          <c:showCatName val="0"/>
          <c:showSerName val="0"/>
          <c:showPercent val="0"/>
          <c:showBubbleSize val="0"/>
        </c:dLbls>
        <c:gapWidth val="219"/>
        <c:overlap val="-27"/>
        <c:axId val="1177396368"/>
        <c:axId val="1177396008"/>
      </c:barChart>
      <c:catAx>
        <c:axId val="117739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77396008"/>
        <c:crosses val="autoZero"/>
        <c:auto val="1"/>
        <c:lblAlgn val="ctr"/>
        <c:lblOffset val="100"/>
        <c:noMultiLvlLbl val="0"/>
      </c:catAx>
      <c:valAx>
        <c:axId val="11773960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77396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analysis.xlsx]Pivot table!PivotTable9</c:name>
    <c:fmtId val="6"/>
  </c:pivotSource>
  <c:chart>
    <c:title>
      <c:tx>
        <c:rich>
          <a:bodyPr rot="0" spcFirstLastPara="1" vertOverflow="ellipsis" vert="horz" wrap="square" anchor="ctr" anchorCtr="1"/>
          <a:lstStyle/>
          <a:p>
            <a:pPr>
              <a:defRPr sz="1400" b="1" i="0" u="none" strike="noStrike" kern="1200" spc="0" baseline="0">
                <a:solidFill>
                  <a:srgbClr val="4A4A4A"/>
                </a:solidFill>
                <a:latin typeface="+mn-lt"/>
                <a:ea typeface="+mn-ea"/>
                <a:cs typeface="+mn-cs"/>
              </a:defRPr>
            </a:pPr>
            <a:r>
              <a:rPr lang="en-US" b="1">
                <a:solidFill>
                  <a:srgbClr val="4A4A4A"/>
                </a:solidFill>
              </a:rPr>
              <a:t>Employees</a:t>
            </a:r>
            <a:r>
              <a:rPr lang="en-US" b="1" baseline="0">
                <a:solidFill>
                  <a:srgbClr val="4A4A4A"/>
                </a:solidFill>
              </a:rPr>
              <a:t> by job role</a:t>
            </a:r>
            <a:endParaRPr lang="en-US" b="1">
              <a:solidFill>
                <a:srgbClr val="4A4A4A"/>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4A4A4A"/>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table'!$G$13:$G$21</c:f>
              <c:strCache>
                <c:ptCount val="9"/>
                <c:pt idx="0">
                  <c:v>Human Resources</c:v>
                </c:pt>
                <c:pt idx="1">
                  <c:v>Research Director</c:v>
                </c:pt>
                <c:pt idx="2">
                  <c:v>Sales Representative</c:v>
                </c:pt>
                <c:pt idx="3">
                  <c:v>Manager</c:v>
                </c:pt>
                <c:pt idx="4">
                  <c:v>Healthcare Representative</c:v>
                </c:pt>
                <c:pt idx="5">
                  <c:v>Manufacturing Director</c:v>
                </c:pt>
                <c:pt idx="6">
                  <c:v>Laboratory Technician</c:v>
                </c:pt>
                <c:pt idx="7">
                  <c:v>Research Scientist</c:v>
                </c:pt>
                <c:pt idx="8">
                  <c:v>Sales Executive</c:v>
                </c:pt>
              </c:strCache>
            </c:strRef>
          </c:cat>
          <c:val>
            <c:numRef>
              <c:f>'Pivot table'!$H$13:$H$21</c:f>
              <c:numCache>
                <c:formatCode>General</c:formatCode>
                <c:ptCount val="9"/>
                <c:pt idx="0">
                  <c:v>52</c:v>
                </c:pt>
                <c:pt idx="1">
                  <c:v>80</c:v>
                </c:pt>
                <c:pt idx="2">
                  <c:v>83</c:v>
                </c:pt>
                <c:pt idx="3">
                  <c:v>102</c:v>
                </c:pt>
                <c:pt idx="4">
                  <c:v>131</c:v>
                </c:pt>
                <c:pt idx="5">
                  <c:v>145</c:v>
                </c:pt>
                <c:pt idx="6">
                  <c:v>259</c:v>
                </c:pt>
                <c:pt idx="7">
                  <c:v>292</c:v>
                </c:pt>
                <c:pt idx="8">
                  <c:v>326</c:v>
                </c:pt>
              </c:numCache>
            </c:numRef>
          </c:val>
          <c:extLst>
            <c:ext xmlns:c16="http://schemas.microsoft.com/office/drawing/2014/chart" uri="{C3380CC4-5D6E-409C-BE32-E72D297353CC}">
              <c16:uniqueId val="{00000003-2968-4FD1-85C7-D666FFC855BB}"/>
            </c:ext>
          </c:extLst>
        </c:ser>
        <c:dLbls>
          <c:dLblPos val="outEnd"/>
          <c:showLegendKey val="0"/>
          <c:showVal val="1"/>
          <c:showCatName val="0"/>
          <c:showSerName val="0"/>
          <c:showPercent val="0"/>
          <c:showBubbleSize val="0"/>
        </c:dLbls>
        <c:gapWidth val="219"/>
        <c:axId val="1893384464"/>
        <c:axId val="1893386984"/>
      </c:barChart>
      <c:catAx>
        <c:axId val="1893384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93386984"/>
        <c:crosses val="autoZero"/>
        <c:auto val="1"/>
        <c:lblAlgn val="ctr"/>
        <c:lblOffset val="100"/>
        <c:noMultiLvlLbl val="0"/>
      </c:catAx>
      <c:valAx>
        <c:axId val="18933869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93384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analysis.xlsx]Pivot table!PivotTable8</c:name>
    <c:fmtId val="25"/>
  </c:pivotSource>
  <c:chart>
    <c:title>
      <c:tx>
        <c:rich>
          <a:bodyPr rot="0" spcFirstLastPara="1" vertOverflow="ellipsis" vert="horz" wrap="square" anchor="ctr" anchorCtr="1"/>
          <a:lstStyle/>
          <a:p>
            <a:pPr>
              <a:defRPr sz="1400" b="1" i="0" u="none" strike="noStrike" kern="1200" baseline="0">
                <a:solidFill>
                  <a:schemeClr val="dk1">
                    <a:lumMod val="65000"/>
                    <a:lumOff val="35000"/>
                  </a:schemeClr>
                </a:solidFill>
                <a:latin typeface="+mn-lt"/>
                <a:ea typeface="+mn-ea"/>
                <a:cs typeface="+mn-cs"/>
              </a:defRPr>
            </a:pPr>
            <a:r>
              <a:rPr lang="en-US" sz="1400"/>
              <a:t>Employees by gender</a:t>
            </a:r>
          </a:p>
          <a:p>
            <a:pPr>
              <a:defRPr sz="1400"/>
            </a:pPr>
            <a:endParaRPr lang="en-US" sz="1400"/>
          </a:p>
        </c:rich>
      </c:tx>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rgbClr val="A8B2BD"/>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A8B2BD"/>
          </a:solidFill>
          <a:ln>
            <a:noFill/>
          </a:ln>
          <a:effectLst>
            <a:outerShdw blurRad="317500" algn="ctr" rotWithShape="0">
              <a:prstClr val="black">
                <a:alpha val="25000"/>
              </a:prstClr>
            </a:outerShdw>
          </a:effectLst>
        </c:spPr>
        <c:dLbl>
          <c:idx val="0"/>
          <c:layout>
            <c:manualLayout>
              <c:x val="0.11941834267086714"/>
              <c:y val="-0.129687411357576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1A3C6C"/>
          </a:solidFill>
          <a:ln>
            <a:noFill/>
          </a:ln>
          <a:effectLst>
            <a:outerShdw blurRad="317500" algn="ctr" rotWithShape="0">
              <a:prstClr val="black">
                <a:alpha val="25000"/>
              </a:prstClr>
            </a:outerShdw>
          </a:effectLst>
        </c:spPr>
        <c:dLbl>
          <c:idx val="0"/>
          <c:layout>
            <c:manualLayout>
              <c:x val="-0.11088846105151948"/>
              <c:y val="7.20485618653202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9200360538618366"/>
          <c:y val="0.42008566403812331"/>
          <c:w val="0.32466207060525554"/>
          <c:h val="0.50066091791002443"/>
        </c:manualLayout>
      </c:layout>
      <c:doughnutChart>
        <c:varyColors val="1"/>
        <c:ser>
          <c:idx val="0"/>
          <c:order val="0"/>
          <c:tx>
            <c:strRef>
              <c:f>'Pivot table'!$H$7</c:f>
              <c:strCache>
                <c:ptCount val="1"/>
                <c:pt idx="0">
                  <c:v>Total</c:v>
                </c:pt>
              </c:strCache>
            </c:strRef>
          </c:tx>
          <c:spPr>
            <a:solidFill>
              <a:srgbClr val="A8B2BD"/>
            </a:solidFill>
          </c:spPr>
          <c:dPt>
            <c:idx val="0"/>
            <c:bubble3D val="0"/>
            <c:spPr>
              <a:solidFill>
                <a:srgbClr val="A8B2BD"/>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07D-4488-A31B-923D00FCDB04}"/>
              </c:ext>
            </c:extLst>
          </c:dPt>
          <c:dPt>
            <c:idx val="1"/>
            <c:bubble3D val="0"/>
            <c:spPr>
              <a:solidFill>
                <a:srgbClr val="1A3C6C"/>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F07D-4488-A31B-923D00FCDB04}"/>
              </c:ext>
            </c:extLst>
          </c:dPt>
          <c:dLbls>
            <c:dLbl>
              <c:idx val="0"/>
              <c:layout>
                <c:manualLayout>
                  <c:x val="0.11941834267086714"/>
                  <c:y val="-0.1296874113575765"/>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07D-4488-A31B-923D00FCDB04}"/>
                </c:ext>
              </c:extLst>
            </c:dLbl>
            <c:dLbl>
              <c:idx val="1"/>
              <c:layout>
                <c:manualLayout>
                  <c:x val="-0.11088846105151948"/>
                  <c:y val="7.204856186532025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07D-4488-A31B-923D00FCDB0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table'!$G$8:$G$9</c:f>
              <c:strCache>
                <c:ptCount val="2"/>
                <c:pt idx="0">
                  <c:v>Female</c:v>
                </c:pt>
                <c:pt idx="1">
                  <c:v>Male</c:v>
                </c:pt>
              </c:strCache>
            </c:strRef>
          </c:cat>
          <c:val>
            <c:numRef>
              <c:f>'Pivot table'!$H$8:$H$9</c:f>
              <c:numCache>
                <c:formatCode>General</c:formatCode>
                <c:ptCount val="2"/>
                <c:pt idx="0">
                  <c:v>588</c:v>
                </c:pt>
                <c:pt idx="1">
                  <c:v>882</c:v>
                </c:pt>
              </c:numCache>
            </c:numRef>
          </c:val>
          <c:extLst>
            <c:ext xmlns:c16="http://schemas.microsoft.com/office/drawing/2014/chart" uri="{C3380CC4-5D6E-409C-BE32-E72D297353CC}">
              <c16:uniqueId val="{00000007-1E05-4C2F-83C9-714FF9699231}"/>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analysis.xlsx]Pivot table!PivotTable10</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rgbClr val="4A4A4A"/>
                </a:solidFill>
                <a:latin typeface="+mn-lt"/>
                <a:ea typeface="+mn-ea"/>
                <a:cs typeface="+mn-cs"/>
              </a:defRPr>
            </a:pPr>
            <a:r>
              <a:rPr lang="en-US" sz="1400" b="1" i="0" baseline="0">
                <a:solidFill>
                  <a:srgbClr val="4A4A4A"/>
                </a:solidFill>
                <a:effectLst/>
              </a:rPr>
              <a:t>Employees eduction field</a:t>
            </a:r>
            <a:endParaRPr lang="en-US" sz="1400" b="1">
              <a:solidFill>
                <a:srgbClr val="4A4A4A"/>
              </a:solidFill>
              <a:effectLst/>
            </a:endParaRPr>
          </a:p>
          <a:p>
            <a:pPr marL="0" marR="0" lvl="0" indent="0" algn="ctr" defTabSz="914400" rtl="0" eaLnBrk="1" fontAlgn="auto" latinLnBrk="0" hangingPunct="1">
              <a:lnSpc>
                <a:spcPct val="100000"/>
              </a:lnSpc>
              <a:spcBef>
                <a:spcPts val="0"/>
              </a:spcBef>
              <a:spcAft>
                <a:spcPts val="0"/>
              </a:spcAft>
              <a:buClrTx/>
              <a:buSzTx/>
              <a:buFontTx/>
              <a:buNone/>
              <a:tabLst/>
              <a:defRPr b="1">
                <a:solidFill>
                  <a:srgbClr val="4A4A4A"/>
                </a:solidFill>
              </a:defRPr>
            </a:pPr>
            <a:endParaRPr lang="en-US" sz="1400" b="1">
              <a:solidFill>
                <a:srgbClr val="4A4A4A"/>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rgbClr val="4A4A4A"/>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table'!$K$12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table'!$J$13:$J$18</c:f>
              <c:strCache>
                <c:ptCount val="6"/>
                <c:pt idx="0">
                  <c:v>Human Resources</c:v>
                </c:pt>
                <c:pt idx="1">
                  <c:v>Other</c:v>
                </c:pt>
                <c:pt idx="2">
                  <c:v>Technical Degree</c:v>
                </c:pt>
                <c:pt idx="3">
                  <c:v>Marketing</c:v>
                </c:pt>
                <c:pt idx="4">
                  <c:v>Medical</c:v>
                </c:pt>
                <c:pt idx="5">
                  <c:v>Life Sciences</c:v>
                </c:pt>
              </c:strCache>
            </c:strRef>
          </c:cat>
          <c:val>
            <c:numRef>
              <c:f>'Pivot table'!$K$13:$K$18</c:f>
              <c:numCache>
                <c:formatCode>General</c:formatCode>
                <c:ptCount val="6"/>
                <c:pt idx="0">
                  <c:v>27</c:v>
                </c:pt>
                <c:pt idx="1">
                  <c:v>82</c:v>
                </c:pt>
                <c:pt idx="2">
                  <c:v>132</c:v>
                </c:pt>
                <c:pt idx="3">
                  <c:v>159</c:v>
                </c:pt>
                <c:pt idx="4">
                  <c:v>464</c:v>
                </c:pt>
                <c:pt idx="5">
                  <c:v>606</c:v>
                </c:pt>
              </c:numCache>
            </c:numRef>
          </c:val>
          <c:extLst>
            <c:ext xmlns:c16="http://schemas.microsoft.com/office/drawing/2014/chart" uri="{C3380CC4-5D6E-409C-BE32-E72D297353CC}">
              <c16:uniqueId val="{00000003-CFD4-4358-860F-E69124FD6E7B}"/>
            </c:ext>
          </c:extLst>
        </c:ser>
        <c:dLbls>
          <c:showLegendKey val="0"/>
          <c:showVal val="0"/>
          <c:showCatName val="0"/>
          <c:showSerName val="0"/>
          <c:showPercent val="0"/>
          <c:showBubbleSize val="0"/>
        </c:dLbls>
        <c:gapWidth val="182"/>
        <c:axId val="1893380144"/>
        <c:axId val="1893382304"/>
      </c:barChart>
      <c:catAx>
        <c:axId val="1893380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93382304"/>
        <c:crosses val="autoZero"/>
        <c:auto val="1"/>
        <c:lblAlgn val="ctr"/>
        <c:lblOffset val="100"/>
        <c:noMultiLvlLbl val="0"/>
      </c:catAx>
      <c:valAx>
        <c:axId val="18933823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93380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analysis.xlsx]Pivot table!PivotTable12</c:name>
    <c:fmtId val="1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A4A4A"/>
                </a:solidFill>
                <a:latin typeface="+mn-lt"/>
                <a:ea typeface="+mn-ea"/>
                <a:cs typeface="+mn-cs"/>
              </a:defRPr>
            </a:pPr>
            <a:r>
              <a:rPr lang="en-US" sz="1400" b="1" i="0" baseline="0">
                <a:solidFill>
                  <a:srgbClr val="4A4A4A"/>
                </a:solidFill>
                <a:effectLst/>
              </a:rPr>
              <a:t>Employees department</a:t>
            </a:r>
            <a:endParaRPr lang="en-US" sz="1400">
              <a:solidFill>
                <a:srgbClr val="4A4A4A"/>
              </a:solidFill>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rgbClr val="4A4A4A"/>
                </a:solidFill>
              </a:defRPr>
            </a:pPr>
            <a:endParaRPr lang="en-US" sz="1400">
              <a:solidFill>
                <a:srgbClr val="4A4A4A"/>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A4A4A"/>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table'!$K$24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table'!$J$25:$J$27</c:f>
              <c:strCache>
                <c:ptCount val="3"/>
                <c:pt idx="0">
                  <c:v>Research &amp; Development</c:v>
                </c:pt>
                <c:pt idx="1">
                  <c:v>Sales</c:v>
                </c:pt>
                <c:pt idx="2">
                  <c:v>Human Resources</c:v>
                </c:pt>
              </c:strCache>
            </c:strRef>
          </c:cat>
          <c:val>
            <c:numRef>
              <c:f>'Pivot table'!$K$25:$K$27</c:f>
              <c:numCache>
                <c:formatCode>General</c:formatCode>
                <c:ptCount val="3"/>
                <c:pt idx="0">
                  <c:v>961</c:v>
                </c:pt>
                <c:pt idx="1">
                  <c:v>446</c:v>
                </c:pt>
                <c:pt idx="2">
                  <c:v>63</c:v>
                </c:pt>
              </c:numCache>
            </c:numRef>
          </c:val>
          <c:extLst>
            <c:ext xmlns:c16="http://schemas.microsoft.com/office/drawing/2014/chart" uri="{C3380CC4-5D6E-409C-BE32-E72D297353CC}">
              <c16:uniqueId val="{00000003-3279-40F4-B4B2-F8A6E7961FD0}"/>
            </c:ext>
          </c:extLst>
        </c:ser>
        <c:dLbls>
          <c:showLegendKey val="0"/>
          <c:showVal val="0"/>
          <c:showCatName val="0"/>
          <c:showSerName val="0"/>
          <c:showPercent val="0"/>
          <c:showBubbleSize val="0"/>
        </c:dLbls>
        <c:gapWidth val="219"/>
        <c:overlap val="-27"/>
        <c:axId val="397079839"/>
        <c:axId val="397076239"/>
      </c:barChart>
      <c:catAx>
        <c:axId val="397079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97076239"/>
        <c:crosses val="autoZero"/>
        <c:auto val="1"/>
        <c:lblAlgn val="ctr"/>
        <c:lblOffset val="100"/>
        <c:noMultiLvlLbl val="0"/>
      </c:catAx>
      <c:valAx>
        <c:axId val="3970762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97079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analysis.xlsx]Pivot table!PivotTable11</c:name>
    <c:fmtId val="6"/>
  </c:pivotSource>
  <c:chart>
    <c:title>
      <c:tx>
        <c:rich>
          <a:bodyPr rot="0" spcFirstLastPara="1" vertOverflow="ellipsis" vert="horz" wrap="square" anchor="ctr" anchorCtr="1"/>
          <a:lstStyle/>
          <a:p>
            <a:pPr>
              <a:defRPr sz="1400" b="1" i="0" u="none" strike="noStrike" kern="1200" baseline="0">
                <a:solidFill>
                  <a:schemeClr val="dk1">
                    <a:lumMod val="65000"/>
                    <a:lumOff val="35000"/>
                  </a:schemeClr>
                </a:solidFill>
                <a:latin typeface="+mn-lt"/>
                <a:ea typeface="+mn-ea"/>
                <a:cs typeface="+mn-cs"/>
              </a:defRPr>
            </a:pPr>
            <a:r>
              <a:rPr lang="en-US" sz="1400"/>
              <a:t>Employees by marital status</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A8B2BD"/>
          </a:solidFill>
          <a:ln>
            <a:noFill/>
          </a:ln>
          <a:effectLst>
            <a:outerShdw blurRad="317500" algn="ctr" rotWithShape="0">
              <a:prstClr val="black">
                <a:alpha val="25000"/>
              </a:prstClr>
            </a:outerShdw>
          </a:effectLst>
        </c:spPr>
        <c:dLbl>
          <c:idx val="0"/>
          <c:layout>
            <c:manualLayout>
              <c:x val="0.1294200293027721"/>
              <c:y val="-8.796562183440645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1A3C6C"/>
          </a:solidFill>
          <a:ln>
            <a:noFill/>
          </a:ln>
          <a:effectLst>
            <a:outerShdw blurRad="317500" algn="ctr" rotWithShape="0">
              <a:prstClr val="black">
                <a:alpha val="25000"/>
              </a:prstClr>
            </a:outerShdw>
          </a:effectLst>
        </c:spPr>
        <c:dLbl>
          <c:idx val="0"/>
          <c:layout>
            <c:manualLayout>
              <c:x val="0.18369294481683796"/>
              <c:y val="-2.199140545860174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778DA9"/>
          </a:solidFill>
          <a:ln>
            <a:noFill/>
          </a:ln>
          <a:effectLst>
            <a:outerShdw blurRad="317500" algn="ctr" rotWithShape="0">
              <a:prstClr val="black">
                <a:alpha val="25000"/>
              </a:prstClr>
            </a:outerShdw>
          </a:effectLst>
        </c:spPr>
        <c:dLbl>
          <c:idx val="0"/>
          <c:layout>
            <c:manualLayout>
              <c:x val="-0.10437099137320338"/>
              <c:y val="-8.06351533482058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8539641088706138"/>
          <c:y val="0.36626426050291633"/>
          <c:w val="0.30247666609796803"/>
          <c:h val="0.53110918069027613"/>
        </c:manualLayout>
      </c:layout>
      <c:doughnutChart>
        <c:varyColors val="1"/>
        <c:ser>
          <c:idx val="0"/>
          <c:order val="0"/>
          <c:tx>
            <c:strRef>
              <c:f>'Pivot table'!$H$26</c:f>
              <c:strCache>
                <c:ptCount val="1"/>
                <c:pt idx="0">
                  <c:v>Total</c:v>
                </c:pt>
              </c:strCache>
            </c:strRef>
          </c:tx>
          <c:dPt>
            <c:idx val="0"/>
            <c:bubble3D val="0"/>
            <c:spPr>
              <a:solidFill>
                <a:srgbClr val="A8B2BD"/>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7B97-4429-9D9E-98C6C57E1797}"/>
              </c:ext>
            </c:extLst>
          </c:dPt>
          <c:dPt>
            <c:idx val="1"/>
            <c:bubble3D val="0"/>
            <c:spPr>
              <a:solidFill>
                <a:srgbClr val="1A3C6C"/>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7B97-4429-9D9E-98C6C57E1797}"/>
              </c:ext>
            </c:extLst>
          </c:dPt>
          <c:dPt>
            <c:idx val="2"/>
            <c:bubble3D val="0"/>
            <c:spPr>
              <a:solidFill>
                <a:srgbClr val="778DA9"/>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7B97-4429-9D9E-98C6C57E1797}"/>
              </c:ext>
            </c:extLst>
          </c:dPt>
          <c:dLbls>
            <c:dLbl>
              <c:idx val="0"/>
              <c:layout>
                <c:manualLayout>
                  <c:x val="0.1294200293027721"/>
                  <c:y val="-8.796562183440645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B97-4429-9D9E-98C6C57E1797}"/>
                </c:ext>
              </c:extLst>
            </c:dLbl>
            <c:dLbl>
              <c:idx val="1"/>
              <c:layout>
                <c:manualLayout>
                  <c:x val="0.18369294481683796"/>
                  <c:y val="-2.199140545860174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B97-4429-9D9E-98C6C57E1797}"/>
                </c:ext>
              </c:extLst>
            </c:dLbl>
            <c:dLbl>
              <c:idx val="2"/>
              <c:layout>
                <c:manualLayout>
                  <c:x val="-0.10437099137320338"/>
                  <c:y val="-8.06351533482058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B97-4429-9D9E-98C6C57E179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table'!$G$27:$G$29</c:f>
              <c:strCache>
                <c:ptCount val="3"/>
                <c:pt idx="0">
                  <c:v>Divorced</c:v>
                </c:pt>
                <c:pt idx="1">
                  <c:v>Married</c:v>
                </c:pt>
                <c:pt idx="2">
                  <c:v>Single</c:v>
                </c:pt>
              </c:strCache>
            </c:strRef>
          </c:cat>
          <c:val>
            <c:numRef>
              <c:f>'Pivot table'!$H$27:$H$29</c:f>
              <c:numCache>
                <c:formatCode>General</c:formatCode>
                <c:ptCount val="3"/>
                <c:pt idx="0">
                  <c:v>327</c:v>
                </c:pt>
                <c:pt idx="1">
                  <c:v>673</c:v>
                </c:pt>
                <c:pt idx="2">
                  <c:v>470</c:v>
                </c:pt>
              </c:numCache>
            </c:numRef>
          </c:val>
          <c:extLst>
            <c:ext xmlns:c16="http://schemas.microsoft.com/office/drawing/2014/chart" uri="{C3380CC4-5D6E-409C-BE32-E72D297353CC}">
              <c16:uniqueId val="{00000009-B2DA-48D2-AB15-EB1458570E80}"/>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analysis.xlsx]Pivot table!PivotTable6</c:name>
    <c:fmtId val="1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baseline="0">
                <a:effectLst/>
              </a:rPr>
              <a:t>Employees by age</a:t>
            </a:r>
            <a:endParaRPr lang="en-US" sz="1400">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sz="1400"/>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table'!$A$7:$A$11</c:f>
              <c:strCache>
                <c:ptCount val="5"/>
                <c:pt idx="0">
                  <c:v>18-27</c:v>
                </c:pt>
                <c:pt idx="1">
                  <c:v>28-37</c:v>
                </c:pt>
                <c:pt idx="2">
                  <c:v>38-47</c:v>
                </c:pt>
                <c:pt idx="3">
                  <c:v>48-57</c:v>
                </c:pt>
                <c:pt idx="4">
                  <c:v>58-67</c:v>
                </c:pt>
              </c:strCache>
            </c:strRef>
          </c:cat>
          <c:val>
            <c:numRef>
              <c:f>'Pivot table'!$B$7:$B$11</c:f>
              <c:numCache>
                <c:formatCode>General</c:formatCode>
                <c:ptCount val="5"/>
                <c:pt idx="0">
                  <c:v>210</c:v>
                </c:pt>
                <c:pt idx="1">
                  <c:v>638</c:v>
                </c:pt>
                <c:pt idx="2">
                  <c:v>406</c:v>
                </c:pt>
                <c:pt idx="3">
                  <c:v>187</c:v>
                </c:pt>
                <c:pt idx="4">
                  <c:v>29</c:v>
                </c:pt>
              </c:numCache>
            </c:numRef>
          </c:val>
          <c:extLst>
            <c:ext xmlns:c16="http://schemas.microsoft.com/office/drawing/2014/chart" uri="{C3380CC4-5D6E-409C-BE32-E72D297353CC}">
              <c16:uniqueId val="{00000000-33BA-4D9A-AA88-42F7AE68DB44}"/>
            </c:ext>
          </c:extLst>
        </c:ser>
        <c:dLbls>
          <c:dLblPos val="outEnd"/>
          <c:showLegendKey val="0"/>
          <c:showVal val="1"/>
          <c:showCatName val="0"/>
          <c:showSerName val="0"/>
          <c:showPercent val="0"/>
          <c:showBubbleSize val="0"/>
        </c:dLbls>
        <c:gapWidth val="219"/>
        <c:overlap val="-27"/>
        <c:axId val="388907175"/>
        <c:axId val="388910415"/>
      </c:barChart>
      <c:catAx>
        <c:axId val="388907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88910415"/>
        <c:crosses val="autoZero"/>
        <c:auto val="1"/>
        <c:lblAlgn val="ctr"/>
        <c:lblOffset val="100"/>
        <c:noMultiLvlLbl val="0"/>
      </c:catAx>
      <c:valAx>
        <c:axId val="3889104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88907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analysis.xlsx]Pivot table!PivotTable15</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rgbClr val="4A4A4A"/>
                </a:solidFill>
              </a:rPr>
              <a:t>Attrition</a:t>
            </a:r>
            <a:r>
              <a:rPr lang="en-US" b="1" baseline="0">
                <a:solidFill>
                  <a:srgbClr val="4A4A4A"/>
                </a:solidFill>
              </a:rPr>
              <a:t> by overtime</a:t>
            </a:r>
            <a:endParaRPr lang="en-US" b="1">
              <a:solidFill>
                <a:srgbClr val="4A4A4A"/>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1A3C6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A3B1C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1A3C6C"/>
          </a:solidFill>
          <a:ln>
            <a:noFill/>
          </a:ln>
          <a:effectLst/>
        </c:spPr>
      </c:pivotFmt>
      <c:pivotFmt>
        <c:idx val="10"/>
        <c:spPr>
          <a:solidFill>
            <a:srgbClr val="1A3C6C"/>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table'!$H$40:$H$41</c:f>
              <c:strCache>
                <c:ptCount val="1"/>
                <c:pt idx="0">
                  <c:v>No</c:v>
                </c:pt>
              </c:strCache>
            </c:strRef>
          </c:tx>
          <c:spPr>
            <a:solidFill>
              <a:srgbClr val="1A3C6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table'!$G$42:$G$43</c:f>
              <c:strCache>
                <c:ptCount val="2"/>
                <c:pt idx="0">
                  <c:v>No</c:v>
                </c:pt>
                <c:pt idx="1">
                  <c:v>Yes</c:v>
                </c:pt>
              </c:strCache>
            </c:strRef>
          </c:cat>
          <c:val>
            <c:numRef>
              <c:f>'Pivot table'!$H$42:$H$43</c:f>
              <c:numCache>
                <c:formatCode>General</c:formatCode>
                <c:ptCount val="2"/>
                <c:pt idx="0">
                  <c:v>944</c:v>
                </c:pt>
                <c:pt idx="1">
                  <c:v>289</c:v>
                </c:pt>
              </c:numCache>
            </c:numRef>
          </c:val>
          <c:extLst>
            <c:ext xmlns:c16="http://schemas.microsoft.com/office/drawing/2014/chart" uri="{C3380CC4-5D6E-409C-BE32-E72D297353CC}">
              <c16:uniqueId val="{00000000-1DF2-4FBE-BE38-7AF6BCDB04D3}"/>
            </c:ext>
          </c:extLst>
        </c:ser>
        <c:ser>
          <c:idx val="1"/>
          <c:order val="1"/>
          <c:tx>
            <c:strRef>
              <c:f>'Pivot table'!$I$40:$I$41</c:f>
              <c:strCache>
                <c:ptCount val="1"/>
                <c:pt idx="0">
                  <c:v>Yes</c:v>
                </c:pt>
              </c:strCache>
            </c:strRef>
          </c:tx>
          <c:spPr>
            <a:solidFill>
              <a:srgbClr val="A3B1C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table'!$G$42:$G$43</c:f>
              <c:strCache>
                <c:ptCount val="2"/>
                <c:pt idx="0">
                  <c:v>No</c:v>
                </c:pt>
                <c:pt idx="1">
                  <c:v>Yes</c:v>
                </c:pt>
              </c:strCache>
            </c:strRef>
          </c:cat>
          <c:val>
            <c:numRef>
              <c:f>'Pivot table'!$I$42:$I$43</c:f>
              <c:numCache>
                <c:formatCode>General</c:formatCode>
                <c:ptCount val="2"/>
                <c:pt idx="0">
                  <c:v>110</c:v>
                </c:pt>
                <c:pt idx="1">
                  <c:v>127</c:v>
                </c:pt>
              </c:numCache>
            </c:numRef>
          </c:val>
          <c:extLst>
            <c:ext xmlns:c16="http://schemas.microsoft.com/office/drawing/2014/chart" uri="{C3380CC4-5D6E-409C-BE32-E72D297353CC}">
              <c16:uniqueId val="{00000009-1DF2-4FBE-BE38-7AF6BCDB04D3}"/>
            </c:ext>
          </c:extLst>
        </c:ser>
        <c:dLbls>
          <c:dLblPos val="outEnd"/>
          <c:showLegendKey val="0"/>
          <c:showVal val="1"/>
          <c:showCatName val="0"/>
          <c:showSerName val="0"/>
          <c:showPercent val="0"/>
          <c:showBubbleSize val="0"/>
        </c:dLbls>
        <c:gapWidth val="219"/>
        <c:axId val="1058446656"/>
        <c:axId val="1058445936"/>
      </c:barChart>
      <c:catAx>
        <c:axId val="1058446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58445936"/>
        <c:crosses val="autoZero"/>
        <c:auto val="1"/>
        <c:lblAlgn val="ctr"/>
        <c:lblOffset val="100"/>
        <c:noMultiLvlLbl val="0"/>
      </c:catAx>
      <c:valAx>
        <c:axId val="10584459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58446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analysis.xlsx]Pivot table!PivotTable20</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4A4A4A"/>
                </a:solidFill>
              </a:rPr>
              <a:t>Attrition</a:t>
            </a:r>
            <a:r>
              <a:rPr lang="en-US" b="1" baseline="0">
                <a:solidFill>
                  <a:srgbClr val="4A4A4A"/>
                </a:solidFill>
              </a:rPr>
              <a:t> by monthly income</a:t>
            </a:r>
            <a:endParaRPr lang="en-US" b="1">
              <a:solidFill>
                <a:srgbClr val="4A4A4A"/>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A3C6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3B1C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A3B1C6"/>
          </a:solidFill>
          <a:ln>
            <a:noFill/>
          </a:ln>
          <a:effectLst/>
        </c:spPr>
        <c:dLbl>
          <c:idx val="0"/>
          <c:layout>
            <c:manualLayout>
              <c:x val="-4.0192938765266596E-3"/>
              <c:y val="-2.336448598130851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A3B1C6"/>
          </a:solidFill>
          <a:ln>
            <a:noFill/>
          </a:ln>
          <a:effectLst/>
        </c:spPr>
        <c:dLbl>
          <c:idx val="0"/>
          <c:layout>
            <c:manualLayout>
              <c:x val="4.0192938765266223E-3"/>
              <c:y val="-1.75233644859813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A3B1C6"/>
          </a:solidFill>
          <a:ln>
            <a:noFill/>
          </a:ln>
          <a:effectLst/>
        </c:spPr>
        <c:dLbl>
          <c:idx val="0"/>
          <c:layout>
            <c:manualLayout>
              <c:x val="0"/>
              <c:y val="-1.75233644859813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A3B1C6"/>
          </a:solidFill>
          <a:ln>
            <a:noFill/>
          </a:ln>
          <a:effectLst/>
        </c:spPr>
        <c:dLbl>
          <c:idx val="0"/>
          <c:layout>
            <c:manualLayout>
              <c:x val="-8.0385877530533192E-3"/>
              <c:y val="-2.33644859813084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A3B1C6"/>
          </a:solidFill>
          <a:ln>
            <a:noFill/>
          </a:ln>
          <a:effectLst/>
        </c:spPr>
        <c:dLbl>
          <c:idx val="0"/>
          <c:layout>
            <c:manualLayout>
              <c:x val="1.5823991639868738E-7"/>
              <c:y val="-2.9205607476635514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3.0385861706541537E-2"/>
                  <c:h val="9.3370557068216939E-2"/>
                </c:manualLayout>
              </c15:layout>
            </c:ext>
          </c:extLst>
        </c:dLbl>
      </c:pivotFmt>
      <c:pivotFmt>
        <c:idx val="11"/>
        <c:spPr>
          <a:solidFill>
            <a:srgbClr val="A3B1C6"/>
          </a:solidFill>
          <a:ln>
            <a:noFill/>
          </a:ln>
          <a:effectLst/>
        </c:spPr>
        <c:dLbl>
          <c:idx val="0"/>
          <c:layout>
            <c:manualLayout>
              <c:x val="4.0192938765266596E-3"/>
              <c:y val="-2.336448598130846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A3B1C6"/>
          </a:solidFill>
          <a:ln>
            <a:noFill/>
          </a:ln>
          <a:effectLst/>
        </c:spPr>
        <c:dLbl>
          <c:idx val="0"/>
          <c:layout>
            <c:manualLayout>
              <c:x val="-8.0385877530533192E-3"/>
              <c:y val="-2.920560747663551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table'!$O$26:$O$27</c:f>
              <c:strCache>
                <c:ptCount val="1"/>
                <c:pt idx="0">
                  <c:v>No</c:v>
                </c:pt>
              </c:strCache>
            </c:strRef>
          </c:tx>
          <c:spPr>
            <a:solidFill>
              <a:srgbClr val="1A3C6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table'!$N$28:$N$34</c:f>
              <c:strCache>
                <c:ptCount val="7"/>
                <c:pt idx="0">
                  <c:v>1009-4008</c:v>
                </c:pt>
                <c:pt idx="1">
                  <c:v>4009-7008</c:v>
                </c:pt>
                <c:pt idx="2">
                  <c:v>7009-10008</c:v>
                </c:pt>
                <c:pt idx="3">
                  <c:v>10009-13008</c:v>
                </c:pt>
                <c:pt idx="4">
                  <c:v>13009-16008</c:v>
                </c:pt>
                <c:pt idx="5">
                  <c:v>16009-19008</c:v>
                </c:pt>
                <c:pt idx="6">
                  <c:v>19009-22008</c:v>
                </c:pt>
              </c:strCache>
            </c:strRef>
          </c:cat>
          <c:val>
            <c:numRef>
              <c:f>'Pivot table'!$O$28:$O$34</c:f>
              <c:numCache>
                <c:formatCode>0</c:formatCode>
                <c:ptCount val="7"/>
                <c:pt idx="0">
                  <c:v>407</c:v>
                </c:pt>
                <c:pt idx="1">
                  <c:v>439</c:v>
                </c:pt>
                <c:pt idx="2">
                  <c:v>131</c:v>
                </c:pt>
                <c:pt idx="3">
                  <c:v>80</c:v>
                </c:pt>
                <c:pt idx="4">
                  <c:v>55</c:v>
                </c:pt>
                <c:pt idx="5">
                  <c:v>75</c:v>
                </c:pt>
                <c:pt idx="6">
                  <c:v>46</c:v>
                </c:pt>
              </c:numCache>
            </c:numRef>
          </c:val>
          <c:extLst>
            <c:ext xmlns:c16="http://schemas.microsoft.com/office/drawing/2014/chart" uri="{C3380CC4-5D6E-409C-BE32-E72D297353CC}">
              <c16:uniqueId val="{00000000-5E6C-4335-B137-8926DF1B01DF}"/>
            </c:ext>
          </c:extLst>
        </c:ser>
        <c:ser>
          <c:idx val="1"/>
          <c:order val="1"/>
          <c:tx>
            <c:strRef>
              <c:f>'Pivot table'!$P$26:$P$27</c:f>
              <c:strCache>
                <c:ptCount val="1"/>
                <c:pt idx="0">
                  <c:v>Yes</c:v>
                </c:pt>
              </c:strCache>
            </c:strRef>
          </c:tx>
          <c:spPr>
            <a:solidFill>
              <a:srgbClr val="A3B1C6"/>
            </a:solidFill>
            <a:ln>
              <a:noFill/>
            </a:ln>
            <a:effectLst/>
          </c:spPr>
          <c:invertIfNegative val="0"/>
          <c:dLbls>
            <c:dLbl>
              <c:idx val="0"/>
              <c:layout>
                <c:manualLayout>
                  <c:x val="-4.0192938765266596E-3"/>
                  <c:y val="-2.3364485981308518E-2"/>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1"/>
              <c:layout>
                <c:manualLayout>
                  <c:x val="4.0192938765266223E-3"/>
                  <c:y val="-1.7523364485981307E-2"/>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2"/>
              <c:layout>
                <c:manualLayout>
                  <c:x val="0"/>
                  <c:y val="-1.7523364485981307E-2"/>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3"/>
              <c:layout>
                <c:manualLayout>
                  <c:x val="-8.0385877530533192E-3"/>
                  <c:y val="-2.336448598130841E-2"/>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4"/>
              <c:layout>
                <c:manualLayout>
                  <c:x val="1.5823991639868738E-7"/>
                  <c:y val="-2.9205607476635514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3.0385861706541537E-2"/>
                      <c:h val="9.3370557068216939E-2"/>
                    </c:manualLayout>
                  </c15:layout>
                </c:ext>
              </c:extLst>
            </c:dLbl>
            <c:dLbl>
              <c:idx val="5"/>
              <c:layout>
                <c:manualLayout>
                  <c:x val="4.0192938765266596E-3"/>
                  <c:y val="-2.3364485981308466E-2"/>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6"/>
              <c:layout>
                <c:manualLayout>
                  <c:x val="-8.0385877530533192E-3"/>
                  <c:y val="-2.9205607476635514E-2"/>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table'!$N$28:$N$34</c:f>
              <c:strCache>
                <c:ptCount val="7"/>
                <c:pt idx="0">
                  <c:v>1009-4008</c:v>
                </c:pt>
                <c:pt idx="1">
                  <c:v>4009-7008</c:v>
                </c:pt>
                <c:pt idx="2">
                  <c:v>7009-10008</c:v>
                </c:pt>
                <c:pt idx="3">
                  <c:v>10009-13008</c:v>
                </c:pt>
                <c:pt idx="4">
                  <c:v>13009-16008</c:v>
                </c:pt>
                <c:pt idx="5">
                  <c:v>16009-19008</c:v>
                </c:pt>
                <c:pt idx="6">
                  <c:v>19009-22008</c:v>
                </c:pt>
              </c:strCache>
            </c:strRef>
          </c:cat>
          <c:val>
            <c:numRef>
              <c:f>'Pivot table'!$P$28:$P$34</c:f>
              <c:numCache>
                <c:formatCode>0</c:formatCode>
                <c:ptCount val="7"/>
                <c:pt idx="0">
                  <c:v>137</c:v>
                </c:pt>
                <c:pt idx="1">
                  <c:v>53</c:v>
                </c:pt>
                <c:pt idx="2">
                  <c:v>23</c:v>
                </c:pt>
                <c:pt idx="3">
                  <c:v>15</c:v>
                </c:pt>
                <c:pt idx="4">
                  <c:v>4</c:v>
                </c:pt>
                <c:pt idx="5">
                  <c:v>1</c:v>
                </c:pt>
                <c:pt idx="6">
                  <c:v>4</c:v>
                </c:pt>
              </c:numCache>
            </c:numRef>
          </c:val>
          <c:extLst>
            <c:ext xmlns:c16="http://schemas.microsoft.com/office/drawing/2014/chart" uri="{C3380CC4-5D6E-409C-BE32-E72D297353CC}">
              <c16:uniqueId val="{0000000E-5E6C-4335-B137-8926DF1B01DF}"/>
            </c:ext>
          </c:extLst>
        </c:ser>
        <c:dLbls>
          <c:dLblPos val="outEnd"/>
          <c:showLegendKey val="0"/>
          <c:showVal val="0"/>
          <c:showCatName val="0"/>
          <c:showSerName val="0"/>
          <c:showPercent val="0"/>
          <c:showBubbleSize val="0"/>
        </c:dLbls>
        <c:gapWidth val="219"/>
        <c:axId val="1176079952"/>
        <c:axId val="1176081392"/>
      </c:barChart>
      <c:catAx>
        <c:axId val="1176079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76081392"/>
        <c:crosses val="autoZero"/>
        <c:auto val="1"/>
        <c:lblAlgn val="ctr"/>
        <c:lblOffset val="100"/>
        <c:noMultiLvlLbl val="0"/>
      </c:catAx>
      <c:valAx>
        <c:axId val="117608139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76079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analysis.xlsx]Pivot table!PivotTable18</c:name>
    <c:fmtId val="10"/>
  </c:pivotSource>
  <c:chart>
    <c:title>
      <c:tx>
        <c:rich>
          <a:bodyPr rot="0" spcFirstLastPara="1" vertOverflow="ellipsis" vert="horz" wrap="square" anchor="ctr" anchorCtr="1"/>
          <a:lstStyle/>
          <a:p>
            <a:pPr>
              <a:defRPr sz="1400" b="0" i="0" u="none" strike="noStrike" kern="1200" spc="0" baseline="0">
                <a:solidFill>
                  <a:srgbClr val="4A4A4A"/>
                </a:solidFill>
                <a:latin typeface="+mn-lt"/>
                <a:ea typeface="+mn-ea"/>
                <a:cs typeface="+mn-cs"/>
              </a:defRPr>
            </a:pPr>
            <a:r>
              <a:rPr lang="en-US" sz="1400" b="1" i="0" u="none" strike="noStrike" baseline="0">
                <a:solidFill>
                  <a:srgbClr val="4A4A4A"/>
                </a:solidFill>
              </a:rPr>
              <a:t>Attrition by Years with Manager</a:t>
            </a:r>
            <a:endParaRPr lang="en-US" b="1">
              <a:solidFill>
                <a:srgbClr val="4A4A4A"/>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4A4A4A"/>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1A3C6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A3B1C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table'!$N$9:$N$10</c:f>
              <c:strCache>
                <c:ptCount val="1"/>
                <c:pt idx="0">
                  <c:v>No</c:v>
                </c:pt>
              </c:strCache>
            </c:strRef>
          </c:tx>
          <c:spPr>
            <a:ln w="28575" cap="rnd">
              <a:solidFill>
                <a:srgbClr val="1A3C6C"/>
              </a:solidFill>
              <a:round/>
            </a:ln>
            <a:effectLst/>
          </c:spPr>
          <c:marker>
            <c:symbol val="none"/>
          </c:marker>
          <c:cat>
            <c:strRef>
              <c:f>'Pivot table'!$M$11:$M$16</c:f>
              <c:strCache>
                <c:ptCount val="6"/>
                <c:pt idx="0">
                  <c:v>0-2</c:v>
                </c:pt>
                <c:pt idx="1">
                  <c:v>3-5</c:v>
                </c:pt>
                <c:pt idx="2">
                  <c:v>6-8</c:v>
                </c:pt>
                <c:pt idx="3">
                  <c:v>9-11</c:v>
                </c:pt>
                <c:pt idx="4">
                  <c:v>12-14</c:v>
                </c:pt>
                <c:pt idx="5">
                  <c:v>15-17</c:v>
                </c:pt>
              </c:strCache>
            </c:strRef>
          </c:cat>
          <c:val>
            <c:numRef>
              <c:f>'Pivot table'!$N$11:$N$16</c:f>
              <c:numCache>
                <c:formatCode>General</c:formatCode>
                <c:ptCount val="6"/>
                <c:pt idx="0">
                  <c:v>537</c:v>
                </c:pt>
                <c:pt idx="1">
                  <c:v>237</c:v>
                </c:pt>
                <c:pt idx="2">
                  <c:v>307</c:v>
                </c:pt>
                <c:pt idx="3">
                  <c:v>103</c:v>
                </c:pt>
                <c:pt idx="4">
                  <c:v>35</c:v>
                </c:pt>
                <c:pt idx="5">
                  <c:v>14</c:v>
                </c:pt>
              </c:numCache>
            </c:numRef>
          </c:val>
          <c:smooth val="0"/>
          <c:extLst>
            <c:ext xmlns:c16="http://schemas.microsoft.com/office/drawing/2014/chart" uri="{C3380CC4-5D6E-409C-BE32-E72D297353CC}">
              <c16:uniqueId val="{00000000-F0AD-43CC-BF83-B04C1E3CD372}"/>
            </c:ext>
          </c:extLst>
        </c:ser>
        <c:ser>
          <c:idx val="1"/>
          <c:order val="1"/>
          <c:tx>
            <c:strRef>
              <c:f>'Pivot table'!$O$9:$O$10</c:f>
              <c:strCache>
                <c:ptCount val="1"/>
                <c:pt idx="0">
                  <c:v>Yes</c:v>
                </c:pt>
              </c:strCache>
            </c:strRef>
          </c:tx>
          <c:spPr>
            <a:ln w="28575" cap="rnd">
              <a:solidFill>
                <a:srgbClr val="A3B1C6"/>
              </a:solidFill>
              <a:round/>
            </a:ln>
            <a:effectLst/>
          </c:spPr>
          <c:marker>
            <c:symbol val="none"/>
          </c:marker>
          <c:cat>
            <c:strRef>
              <c:f>'Pivot table'!$M$11:$M$16</c:f>
              <c:strCache>
                <c:ptCount val="6"/>
                <c:pt idx="0">
                  <c:v>0-2</c:v>
                </c:pt>
                <c:pt idx="1">
                  <c:v>3-5</c:v>
                </c:pt>
                <c:pt idx="2">
                  <c:v>6-8</c:v>
                </c:pt>
                <c:pt idx="3">
                  <c:v>9-11</c:v>
                </c:pt>
                <c:pt idx="4">
                  <c:v>12-14</c:v>
                </c:pt>
                <c:pt idx="5">
                  <c:v>15-17</c:v>
                </c:pt>
              </c:strCache>
            </c:strRef>
          </c:cat>
          <c:val>
            <c:numRef>
              <c:f>'Pivot table'!$O$11:$O$16</c:f>
              <c:numCache>
                <c:formatCode>General</c:formatCode>
                <c:ptCount val="6"/>
                <c:pt idx="0">
                  <c:v>146</c:v>
                </c:pt>
                <c:pt idx="1">
                  <c:v>34</c:v>
                </c:pt>
                <c:pt idx="2">
                  <c:v>45</c:v>
                </c:pt>
                <c:pt idx="3">
                  <c:v>10</c:v>
                </c:pt>
                <c:pt idx="4">
                  <c:v>2</c:v>
                </c:pt>
              </c:numCache>
            </c:numRef>
          </c:val>
          <c:smooth val="0"/>
          <c:extLst>
            <c:ext xmlns:c16="http://schemas.microsoft.com/office/drawing/2014/chart" uri="{C3380CC4-5D6E-409C-BE32-E72D297353CC}">
              <c16:uniqueId val="{00000007-F0AD-43CC-BF83-B04C1E3CD372}"/>
            </c:ext>
          </c:extLst>
        </c:ser>
        <c:dLbls>
          <c:showLegendKey val="0"/>
          <c:showVal val="0"/>
          <c:showCatName val="0"/>
          <c:showSerName val="0"/>
          <c:showPercent val="0"/>
          <c:showBubbleSize val="0"/>
        </c:dLbls>
        <c:smooth val="0"/>
        <c:axId val="1717961224"/>
        <c:axId val="1717956544"/>
      </c:lineChart>
      <c:catAx>
        <c:axId val="1717961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17956544"/>
        <c:crosses val="autoZero"/>
        <c:auto val="1"/>
        <c:lblAlgn val="ctr"/>
        <c:lblOffset val="100"/>
        <c:noMultiLvlLbl val="0"/>
      </c:catAx>
      <c:valAx>
        <c:axId val="17179565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17961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analysis.xlsx]Pivot table!PivotTable25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rgbClr val="4A4A4A"/>
                </a:solidFill>
              </a:rPr>
              <a:t>Attrition by Job Role</a:t>
            </a:r>
            <a:endParaRPr lang="en-US" b="1">
              <a:solidFill>
                <a:srgbClr val="4A4A4A"/>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A3C6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table'!$L$45:$L$46</c:f>
              <c:strCache>
                <c:ptCount val="1"/>
                <c:pt idx="0">
                  <c:v>Yes</c:v>
                </c:pt>
              </c:strCache>
            </c:strRef>
          </c:tx>
          <c:spPr>
            <a:solidFill>
              <a:srgbClr val="1A3C6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table'!$K$47:$K$55</c:f>
              <c:strCache>
                <c:ptCount val="9"/>
                <c:pt idx="0">
                  <c:v>Laboratory Technician</c:v>
                </c:pt>
                <c:pt idx="1">
                  <c:v>Sales Executive</c:v>
                </c:pt>
                <c:pt idx="2">
                  <c:v>Research Scientist</c:v>
                </c:pt>
                <c:pt idx="3">
                  <c:v>Sales Representative</c:v>
                </c:pt>
                <c:pt idx="4">
                  <c:v>Human Resources</c:v>
                </c:pt>
                <c:pt idx="5">
                  <c:v>Manufacturing Director</c:v>
                </c:pt>
                <c:pt idx="6">
                  <c:v>Healthcare Representative</c:v>
                </c:pt>
                <c:pt idx="7">
                  <c:v>Manager</c:v>
                </c:pt>
                <c:pt idx="8">
                  <c:v>Research Director</c:v>
                </c:pt>
              </c:strCache>
            </c:strRef>
          </c:cat>
          <c:val>
            <c:numRef>
              <c:f>'Pivot table'!$L$47:$L$55</c:f>
              <c:numCache>
                <c:formatCode>General</c:formatCode>
                <c:ptCount val="9"/>
                <c:pt idx="0">
                  <c:v>62</c:v>
                </c:pt>
                <c:pt idx="1">
                  <c:v>57</c:v>
                </c:pt>
                <c:pt idx="2">
                  <c:v>47</c:v>
                </c:pt>
                <c:pt idx="3">
                  <c:v>33</c:v>
                </c:pt>
                <c:pt idx="4">
                  <c:v>12</c:v>
                </c:pt>
                <c:pt idx="5">
                  <c:v>10</c:v>
                </c:pt>
                <c:pt idx="6">
                  <c:v>9</c:v>
                </c:pt>
                <c:pt idx="7">
                  <c:v>5</c:v>
                </c:pt>
                <c:pt idx="8">
                  <c:v>2</c:v>
                </c:pt>
              </c:numCache>
            </c:numRef>
          </c:val>
          <c:extLst>
            <c:ext xmlns:c16="http://schemas.microsoft.com/office/drawing/2014/chart" uri="{C3380CC4-5D6E-409C-BE32-E72D297353CC}">
              <c16:uniqueId val="{00000006-149F-48E6-A5C5-D938B15EFDE8}"/>
            </c:ext>
          </c:extLst>
        </c:ser>
        <c:dLbls>
          <c:dLblPos val="outEnd"/>
          <c:showLegendKey val="0"/>
          <c:showVal val="1"/>
          <c:showCatName val="0"/>
          <c:showSerName val="0"/>
          <c:showPercent val="0"/>
          <c:showBubbleSize val="0"/>
        </c:dLbls>
        <c:gapWidth val="219"/>
        <c:axId val="1717964824"/>
        <c:axId val="1717965544"/>
      </c:barChart>
      <c:catAx>
        <c:axId val="1717964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17965544"/>
        <c:crosses val="autoZero"/>
        <c:auto val="1"/>
        <c:lblAlgn val="ctr"/>
        <c:lblOffset val="100"/>
        <c:noMultiLvlLbl val="0"/>
      </c:catAx>
      <c:valAx>
        <c:axId val="17179655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17964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A3B1C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analysis.xlsx]Pivot table!PivotTable27</c:name>
    <c:fmtId val="5"/>
  </c:pivotSource>
  <c:chart>
    <c:title>
      <c:tx>
        <c:rich>
          <a:bodyPr rot="0" spcFirstLastPara="1" vertOverflow="ellipsis" vert="horz" wrap="square" anchor="ctr" anchorCtr="1"/>
          <a:lstStyle/>
          <a:p>
            <a:pPr>
              <a:defRPr sz="1400" b="1" i="0" u="none" strike="noStrike" kern="1200" spc="0" baseline="0">
                <a:solidFill>
                  <a:srgbClr val="4A4A4A"/>
                </a:solidFill>
                <a:latin typeface="+mn-lt"/>
                <a:ea typeface="+mn-ea"/>
                <a:cs typeface="+mn-cs"/>
              </a:defRPr>
            </a:pPr>
            <a:r>
              <a:rPr lang="en-US" b="1">
                <a:solidFill>
                  <a:srgbClr val="4A4A4A"/>
                </a:solidFill>
              </a:rPr>
              <a:t>Attrition</a:t>
            </a:r>
            <a:r>
              <a:rPr lang="en-US" b="1" baseline="0">
                <a:solidFill>
                  <a:srgbClr val="4A4A4A"/>
                </a:solidFill>
              </a:rPr>
              <a:t> by Distance</a:t>
            </a:r>
            <a:endParaRPr lang="en-US" b="1">
              <a:solidFill>
                <a:srgbClr val="4A4A4A"/>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4A4A4A"/>
              </a:solidFill>
              <a:latin typeface="+mn-lt"/>
              <a:ea typeface="+mn-ea"/>
              <a:cs typeface="+mn-cs"/>
            </a:defRPr>
          </a:pPr>
          <a:endParaRPr lang="en-US"/>
        </a:p>
      </c:txPr>
    </c:title>
    <c:autoTitleDeleted val="0"/>
    <c:pivotFmts>
      <c:pivotFmt>
        <c:idx val="0"/>
        <c:spPr>
          <a:solidFill>
            <a:srgbClr val="1A3C6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A3B1C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A3C6C"/>
          </a:solidFill>
          <a:ln>
            <a:noFill/>
          </a:ln>
          <a:effectLst/>
        </c:spPr>
      </c:pivotFmt>
      <c:pivotFmt>
        <c:idx val="3"/>
        <c:spPr>
          <a:solidFill>
            <a:srgbClr val="1A3C6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A3B1C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1A3C6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A3B1C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table'!$O$45:$O$46</c:f>
              <c:strCache>
                <c:ptCount val="1"/>
                <c:pt idx="0">
                  <c:v>No</c:v>
                </c:pt>
              </c:strCache>
            </c:strRef>
          </c:tx>
          <c:spPr>
            <a:solidFill>
              <a:srgbClr val="1A3C6C"/>
            </a:solidFill>
            <a:ln>
              <a:noFill/>
            </a:ln>
            <a:effectLst/>
          </c:spPr>
          <c:invertIfNegative val="0"/>
          <c:cat>
            <c:strRef>
              <c:f>'Pivot table'!$N$47:$N$52</c:f>
              <c:strCache>
                <c:ptCount val="6"/>
                <c:pt idx="0">
                  <c:v>1-5</c:v>
                </c:pt>
                <c:pt idx="1">
                  <c:v>6-10</c:v>
                </c:pt>
                <c:pt idx="2">
                  <c:v>11-15</c:v>
                </c:pt>
                <c:pt idx="3">
                  <c:v>16-20</c:v>
                </c:pt>
                <c:pt idx="4">
                  <c:v>21-25</c:v>
                </c:pt>
                <c:pt idx="5">
                  <c:v>26-30</c:v>
                </c:pt>
              </c:strCache>
            </c:strRef>
          </c:cat>
          <c:val>
            <c:numRef>
              <c:f>'Pivot table'!$O$47:$O$52</c:f>
              <c:numCache>
                <c:formatCode>General</c:formatCode>
                <c:ptCount val="6"/>
                <c:pt idx="0">
                  <c:v>545</c:v>
                </c:pt>
                <c:pt idx="1">
                  <c:v>337</c:v>
                </c:pt>
                <c:pt idx="2">
                  <c:v>90</c:v>
                </c:pt>
                <c:pt idx="3">
                  <c:v>102</c:v>
                </c:pt>
                <c:pt idx="4">
                  <c:v>85</c:v>
                </c:pt>
                <c:pt idx="5">
                  <c:v>74</c:v>
                </c:pt>
              </c:numCache>
            </c:numRef>
          </c:val>
          <c:extLst>
            <c:ext xmlns:c16="http://schemas.microsoft.com/office/drawing/2014/chart" uri="{C3380CC4-5D6E-409C-BE32-E72D297353CC}">
              <c16:uniqueId val="{00000000-8173-4163-806F-C2DD1D0D4B7D}"/>
            </c:ext>
          </c:extLst>
        </c:ser>
        <c:ser>
          <c:idx val="1"/>
          <c:order val="1"/>
          <c:tx>
            <c:strRef>
              <c:f>'Pivot table'!$P$45:$P$46</c:f>
              <c:strCache>
                <c:ptCount val="1"/>
                <c:pt idx="0">
                  <c:v>Yes</c:v>
                </c:pt>
              </c:strCache>
            </c:strRef>
          </c:tx>
          <c:spPr>
            <a:solidFill>
              <a:srgbClr val="A3B1C6"/>
            </a:solidFill>
            <a:ln>
              <a:noFill/>
            </a:ln>
            <a:effectLst/>
          </c:spPr>
          <c:invertIfNegative val="0"/>
          <c:cat>
            <c:strRef>
              <c:f>'Pivot table'!$N$47:$N$52</c:f>
              <c:strCache>
                <c:ptCount val="6"/>
                <c:pt idx="0">
                  <c:v>1-5</c:v>
                </c:pt>
                <c:pt idx="1">
                  <c:v>6-10</c:v>
                </c:pt>
                <c:pt idx="2">
                  <c:v>11-15</c:v>
                </c:pt>
                <c:pt idx="3">
                  <c:v>16-20</c:v>
                </c:pt>
                <c:pt idx="4">
                  <c:v>21-25</c:v>
                </c:pt>
                <c:pt idx="5">
                  <c:v>26-30</c:v>
                </c:pt>
              </c:strCache>
            </c:strRef>
          </c:cat>
          <c:val>
            <c:numRef>
              <c:f>'Pivot table'!$P$47:$P$52</c:f>
              <c:numCache>
                <c:formatCode>General</c:formatCode>
                <c:ptCount val="6"/>
                <c:pt idx="0">
                  <c:v>87</c:v>
                </c:pt>
                <c:pt idx="1">
                  <c:v>57</c:v>
                </c:pt>
                <c:pt idx="2">
                  <c:v>25</c:v>
                </c:pt>
                <c:pt idx="3">
                  <c:v>23</c:v>
                </c:pt>
                <c:pt idx="4">
                  <c:v>32</c:v>
                </c:pt>
                <c:pt idx="5">
                  <c:v>13</c:v>
                </c:pt>
              </c:numCache>
            </c:numRef>
          </c:val>
          <c:extLst>
            <c:ext xmlns:c16="http://schemas.microsoft.com/office/drawing/2014/chart" uri="{C3380CC4-5D6E-409C-BE32-E72D297353CC}">
              <c16:uniqueId val="{00000007-8173-4163-806F-C2DD1D0D4B7D}"/>
            </c:ext>
          </c:extLst>
        </c:ser>
        <c:dLbls>
          <c:showLegendKey val="0"/>
          <c:showVal val="0"/>
          <c:showCatName val="0"/>
          <c:showSerName val="0"/>
          <c:showPercent val="0"/>
          <c:showBubbleSize val="0"/>
        </c:dLbls>
        <c:gapWidth val="219"/>
        <c:overlap val="-27"/>
        <c:axId val="1177396368"/>
        <c:axId val="1177396008"/>
      </c:barChart>
      <c:catAx>
        <c:axId val="117739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77396008"/>
        <c:crosses val="autoZero"/>
        <c:auto val="1"/>
        <c:lblAlgn val="ctr"/>
        <c:lblOffset val="100"/>
        <c:noMultiLvlLbl val="0"/>
      </c:catAx>
      <c:valAx>
        <c:axId val="11773960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77396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A3B1C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hyperlink" Target="#'Dashboard (2)'!A1"/><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chart" Target="../charts/chart8.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7.xml"/><Relationship Id="rId5" Type="http://schemas.openxmlformats.org/officeDocument/2006/relationships/image" Target="../media/image5.png"/><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_rels/drawing3.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image" Target="../media/image3.png"/><Relationship Id="rId7" Type="http://schemas.openxmlformats.org/officeDocument/2006/relationships/hyperlink" Target="#Dashboard!A1"/><Relationship Id="rId12" Type="http://schemas.openxmlformats.org/officeDocument/2006/relationships/chart" Target="../charts/chart1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2.xml"/><Relationship Id="rId5" Type="http://schemas.openxmlformats.org/officeDocument/2006/relationships/image" Target="../media/image5.png"/><Relationship Id="rId10" Type="http://schemas.openxmlformats.org/officeDocument/2006/relationships/chart" Target="../charts/chart11.xml"/><Relationship Id="rId4" Type="http://schemas.openxmlformats.org/officeDocument/2006/relationships/image" Target="../media/image4.png"/><Relationship Id="rId9"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41</xdr:row>
      <xdr:rowOff>3903</xdr:rowOff>
    </xdr:from>
    <xdr:to>
      <xdr:col>1</xdr:col>
      <xdr:colOff>918117</xdr:colOff>
      <xdr:row>54</xdr:row>
      <xdr:rowOff>169080</xdr:rowOff>
    </xdr:to>
    <mc:AlternateContent xmlns:mc="http://schemas.openxmlformats.org/markup-compatibility/2006">
      <mc:Choice xmlns:a14="http://schemas.microsoft.com/office/drawing/2010/main" Requires="a14">
        <xdr:graphicFrame macro="">
          <xdr:nvGraphicFramePr>
            <xdr:cNvPr id="19" name="Department">
              <a:extLst>
                <a:ext uri="{FF2B5EF4-FFF2-40B4-BE49-F238E27FC236}">
                  <a16:creationId xmlns:a16="http://schemas.microsoft.com/office/drawing/2014/main" id="{E13FD753-11F8-AB95-0914-BB2DEF1FB7B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0" y="7623903"/>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31037</xdr:colOff>
      <xdr:row>12</xdr:row>
      <xdr:rowOff>75084</xdr:rowOff>
    </xdr:from>
    <xdr:to>
      <xdr:col>1</xdr:col>
      <xdr:colOff>949154</xdr:colOff>
      <xdr:row>26</xdr:row>
      <xdr:rowOff>54408</xdr:rowOff>
    </xdr:to>
    <mc:AlternateContent xmlns:mc="http://schemas.openxmlformats.org/markup-compatibility/2006">
      <mc:Choice xmlns:a14="http://schemas.microsoft.com/office/drawing/2010/main" Requires="a14">
        <xdr:graphicFrame macro="">
          <xdr:nvGraphicFramePr>
            <xdr:cNvPr id="20" name="EducationField">
              <a:extLst>
                <a:ext uri="{FF2B5EF4-FFF2-40B4-BE49-F238E27FC236}">
                  <a16:creationId xmlns:a16="http://schemas.microsoft.com/office/drawing/2014/main" id="{BE39437C-1DA0-96CE-73E7-9A19231E5F62}"/>
                </a:ext>
              </a:extLst>
            </xdr:cNvPr>
            <xdr:cNvGraphicFramePr/>
          </xdr:nvGraphicFramePr>
          <xdr:xfrm>
            <a:off x="0" y="0"/>
            <a:ext cx="0" cy="0"/>
          </xdr:xfrm>
          <a:graphic>
            <a:graphicData uri="http://schemas.microsoft.com/office/drawing/2010/slicer">
              <sle:slicer xmlns:sle="http://schemas.microsoft.com/office/drawing/2010/slicer" name="EducationField"/>
            </a:graphicData>
          </a:graphic>
        </xdr:graphicFrame>
      </mc:Choice>
      <mc:Fallback>
        <xdr:sp macro="" textlink="">
          <xdr:nvSpPr>
            <xdr:cNvPr id="0" name=""/>
            <xdr:cNvSpPr>
              <a:spLocks noTextEdit="1"/>
            </xdr:cNvSpPr>
          </xdr:nvSpPr>
          <xdr:spPr>
            <a:xfrm>
              <a:off x="31037" y="2305328"/>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174145</xdr:rowOff>
    </xdr:from>
    <xdr:to>
      <xdr:col>1</xdr:col>
      <xdr:colOff>918117</xdr:colOff>
      <xdr:row>39</xdr:row>
      <xdr:rowOff>153468</xdr:rowOff>
    </xdr:to>
    <mc:AlternateContent xmlns:mc="http://schemas.openxmlformats.org/markup-compatibility/2006">
      <mc:Choice xmlns:a14="http://schemas.microsoft.com/office/drawing/2010/main" Requires="a14">
        <xdr:graphicFrame macro="">
          <xdr:nvGraphicFramePr>
            <xdr:cNvPr id="21" name="JobRole">
              <a:extLst>
                <a:ext uri="{FF2B5EF4-FFF2-40B4-BE49-F238E27FC236}">
                  <a16:creationId xmlns:a16="http://schemas.microsoft.com/office/drawing/2014/main" id="{2A2CCF06-2ACC-C269-439C-56F44F043564}"/>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dr:sp macro="" textlink="">
          <xdr:nvSpPr>
            <xdr:cNvPr id="0" name=""/>
            <xdr:cNvSpPr>
              <a:spLocks noTextEdit="1"/>
            </xdr:cNvSpPr>
          </xdr:nvSpPr>
          <xdr:spPr>
            <a:xfrm>
              <a:off x="0" y="4820486"/>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55757</xdr:colOff>
      <xdr:row>28</xdr:row>
      <xdr:rowOff>26950</xdr:rowOff>
    </xdr:from>
    <xdr:to>
      <xdr:col>10</xdr:col>
      <xdr:colOff>743415</xdr:colOff>
      <xdr:row>42</xdr:row>
      <xdr:rowOff>168198</xdr:rowOff>
    </xdr:to>
    <xdr:graphicFrame macro="">
      <xdr:nvGraphicFramePr>
        <xdr:cNvPr id="5" name="Chart 4">
          <a:extLst>
            <a:ext uri="{FF2B5EF4-FFF2-40B4-BE49-F238E27FC236}">
              <a16:creationId xmlns:a16="http://schemas.microsoft.com/office/drawing/2014/main" id="{13CB5A82-4342-EF46-2416-B13EF92FC3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892098</xdr:colOff>
      <xdr:row>34</xdr:row>
      <xdr:rowOff>36242</xdr:rowOff>
    </xdr:from>
    <xdr:to>
      <xdr:col>12</xdr:col>
      <xdr:colOff>241610</xdr:colOff>
      <xdr:row>48</xdr:row>
      <xdr:rowOff>177490</xdr:rowOff>
    </xdr:to>
    <xdr:graphicFrame macro="">
      <xdr:nvGraphicFramePr>
        <xdr:cNvPr id="6" name="Chart 5">
          <a:extLst>
            <a:ext uri="{FF2B5EF4-FFF2-40B4-BE49-F238E27FC236}">
              <a16:creationId xmlns:a16="http://schemas.microsoft.com/office/drawing/2014/main" id="{45DC80E9-FD72-653A-1B0F-378C3CD3A2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419099</xdr:colOff>
      <xdr:row>0</xdr:row>
      <xdr:rowOff>22860</xdr:rowOff>
    </xdr:from>
    <xdr:to>
      <xdr:col>23</xdr:col>
      <xdr:colOff>345440</xdr:colOff>
      <xdr:row>33</xdr:row>
      <xdr:rowOff>128530</xdr:rowOff>
    </xdr:to>
    <xdr:sp macro="" textlink="">
      <xdr:nvSpPr>
        <xdr:cNvPr id="2" name="Rectangle 1">
          <a:extLst>
            <a:ext uri="{FF2B5EF4-FFF2-40B4-BE49-F238E27FC236}">
              <a16:creationId xmlns:a16="http://schemas.microsoft.com/office/drawing/2014/main" id="{62742B12-F8E1-0E7D-8BDD-1B393C8114F6}"/>
            </a:ext>
          </a:extLst>
        </xdr:cNvPr>
        <xdr:cNvSpPr/>
      </xdr:nvSpPr>
      <xdr:spPr>
        <a:xfrm>
          <a:off x="2857499" y="22860"/>
          <a:ext cx="11508741" cy="6140710"/>
        </a:xfrm>
        <a:prstGeom prst="rect">
          <a:avLst/>
        </a:prstGeom>
        <a:solidFill>
          <a:srgbClr val="F0F2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noFill/>
          </a:endParaRPr>
        </a:p>
      </xdr:txBody>
    </xdr:sp>
    <xdr:clientData/>
  </xdr:twoCellAnchor>
  <xdr:twoCellAnchor>
    <xdr:from>
      <xdr:col>4</xdr:col>
      <xdr:colOff>464820</xdr:colOff>
      <xdr:row>0</xdr:row>
      <xdr:rowOff>53340</xdr:rowOff>
    </xdr:from>
    <xdr:to>
      <xdr:col>23</xdr:col>
      <xdr:colOff>264160</xdr:colOff>
      <xdr:row>3</xdr:row>
      <xdr:rowOff>76200</xdr:rowOff>
    </xdr:to>
    <xdr:sp macro="" textlink="">
      <xdr:nvSpPr>
        <xdr:cNvPr id="18" name="Rectangle: Rounded Corners 17">
          <a:extLst>
            <a:ext uri="{FF2B5EF4-FFF2-40B4-BE49-F238E27FC236}">
              <a16:creationId xmlns:a16="http://schemas.microsoft.com/office/drawing/2014/main" id="{42ADA640-19D9-8452-DA56-69EC2270BBD7}"/>
            </a:ext>
          </a:extLst>
        </xdr:cNvPr>
        <xdr:cNvSpPr/>
      </xdr:nvSpPr>
      <xdr:spPr>
        <a:xfrm>
          <a:off x="2903220" y="53340"/>
          <a:ext cx="11381740" cy="571500"/>
        </a:xfrm>
        <a:prstGeom prst="roundRect">
          <a:avLst/>
        </a:prstGeom>
        <a:solidFill>
          <a:srgbClr val="1A3C6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endParaRPr lang="en-US" sz="1100"/>
        </a:p>
      </xdr:txBody>
    </xdr:sp>
    <xdr:clientData/>
  </xdr:twoCellAnchor>
  <xdr:twoCellAnchor>
    <xdr:from>
      <xdr:col>7</xdr:col>
      <xdr:colOff>304800</xdr:colOff>
      <xdr:row>0</xdr:row>
      <xdr:rowOff>152400</xdr:rowOff>
    </xdr:from>
    <xdr:to>
      <xdr:col>14</xdr:col>
      <xdr:colOff>0</xdr:colOff>
      <xdr:row>2</xdr:row>
      <xdr:rowOff>121920</xdr:rowOff>
    </xdr:to>
    <xdr:sp macro="" textlink="">
      <xdr:nvSpPr>
        <xdr:cNvPr id="19" name="TextBox 18">
          <a:extLst>
            <a:ext uri="{FF2B5EF4-FFF2-40B4-BE49-F238E27FC236}">
              <a16:creationId xmlns:a16="http://schemas.microsoft.com/office/drawing/2014/main" id="{153785BE-2751-E787-3729-5085A5EBA558}"/>
            </a:ext>
          </a:extLst>
        </xdr:cNvPr>
        <xdr:cNvSpPr txBox="1"/>
      </xdr:nvSpPr>
      <xdr:spPr>
        <a:xfrm>
          <a:off x="4572000" y="152400"/>
          <a:ext cx="396240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ar-SA" sz="1600">
              <a:solidFill>
                <a:schemeClr val="bg1"/>
              </a:solidFill>
              <a:effectLst/>
              <a:latin typeface="+mn-lt"/>
              <a:ea typeface="+mn-ea"/>
              <a:cs typeface="+mn-cs"/>
            </a:rPr>
            <a:t>   </a:t>
          </a:r>
          <a:r>
            <a:rPr lang="en-US" sz="1600">
              <a:solidFill>
                <a:schemeClr val="bg1"/>
              </a:solidFill>
              <a:effectLst/>
              <a:latin typeface="+mn-lt"/>
              <a:ea typeface="+mn-ea"/>
              <a:cs typeface="+mn-cs"/>
            </a:rPr>
            <a:t>HR Analytics Dashboard</a:t>
          </a:r>
          <a:endParaRPr lang="en-US" sz="1600">
            <a:solidFill>
              <a:schemeClr val="bg1"/>
            </a:solidFill>
            <a:effectLst/>
          </a:endParaRPr>
        </a:p>
        <a:p>
          <a:pPr algn="l"/>
          <a:endParaRPr lang="en-US" sz="1600">
            <a:ln>
              <a:noFill/>
            </a:ln>
            <a:solidFill>
              <a:schemeClr val="bg1"/>
            </a:solidFill>
            <a:effectLst>
              <a:innerShdw blurRad="63500" dist="50800" dir="13500000">
                <a:prstClr val="black">
                  <a:alpha val="50000"/>
                </a:prstClr>
              </a:innerShdw>
            </a:effectLst>
          </a:endParaRPr>
        </a:p>
      </xdr:txBody>
    </xdr:sp>
    <xdr:clientData/>
  </xdr:twoCellAnchor>
  <xdr:twoCellAnchor>
    <xdr:from>
      <xdr:col>5</xdr:col>
      <xdr:colOff>373380</xdr:colOff>
      <xdr:row>4</xdr:row>
      <xdr:rowOff>121920</xdr:rowOff>
    </xdr:from>
    <xdr:to>
      <xdr:col>8</xdr:col>
      <xdr:colOff>71120</xdr:colOff>
      <xdr:row>8</xdr:row>
      <xdr:rowOff>91440</xdr:rowOff>
    </xdr:to>
    <xdr:sp macro="" textlink="">
      <xdr:nvSpPr>
        <xdr:cNvPr id="24" name="Rectangle: Rounded Corners 23">
          <a:extLst>
            <a:ext uri="{FF2B5EF4-FFF2-40B4-BE49-F238E27FC236}">
              <a16:creationId xmlns:a16="http://schemas.microsoft.com/office/drawing/2014/main" id="{8E8FBE14-3C35-4134-8AB0-E16C98078280}"/>
            </a:ext>
          </a:extLst>
        </xdr:cNvPr>
        <xdr:cNvSpPr/>
      </xdr:nvSpPr>
      <xdr:spPr>
        <a:xfrm>
          <a:off x="3421380" y="853440"/>
          <a:ext cx="1526540" cy="701040"/>
        </a:xfrm>
        <a:prstGeom prst="roundRect">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rgbClr val="4A4A4A"/>
              </a:solidFill>
            </a:rPr>
            <a:t>Total</a:t>
          </a:r>
          <a:r>
            <a:rPr lang="en-US" sz="1400" b="1" baseline="0">
              <a:solidFill>
                <a:srgbClr val="1A3C6C"/>
              </a:solidFill>
            </a:rPr>
            <a:t> </a:t>
          </a:r>
          <a:r>
            <a:rPr lang="en-US" sz="1400" b="1" baseline="0">
              <a:solidFill>
                <a:srgbClr val="4A4A4A"/>
              </a:solidFill>
            </a:rPr>
            <a:t>Employees</a:t>
          </a:r>
        </a:p>
        <a:p>
          <a:pPr algn="ctr"/>
          <a:endParaRPr lang="en-US" sz="1200" b="1">
            <a:solidFill>
              <a:srgbClr val="1A3C6C"/>
            </a:solidFill>
          </a:endParaRPr>
        </a:p>
      </xdr:txBody>
    </xdr:sp>
    <xdr:clientData/>
  </xdr:twoCellAnchor>
  <xdr:twoCellAnchor>
    <xdr:from>
      <xdr:col>14</xdr:col>
      <xdr:colOff>7620</xdr:colOff>
      <xdr:row>4</xdr:row>
      <xdr:rowOff>121920</xdr:rowOff>
    </xdr:from>
    <xdr:to>
      <xdr:col>16</xdr:col>
      <xdr:colOff>220980</xdr:colOff>
      <xdr:row>8</xdr:row>
      <xdr:rowOff>91440</xdr:rowOff>
    </xdr:to>
    <xdr:sp macro="" textlink="">
      <xdr:nvSpPr>
        <xdr:cNvPr id="28" name="Rectangle: Rounded Corners 27">
          <a:extLst>
            <a:ext uri="{FF2B5EF4-FFF2-40B4-BE49-F238E27FC236}">
              <a16:creationId xmlns:a16="http://schemas.microsoft.com/office/drawing/2014/main" id="{C14FDAD0-FA92-408B-AC45-867DE0390AF4}"/>
            </a:ext>
          </a:extLst>
        </xdr:cNvPr>
        <xdr:cNvSpPr/>
      </xdr:nvSpPr>
      <xdr:spPr>
        <a:xfrm>
          <a:off x="8542020" y="853440"/>
          <a:ext cx="1432560" cy="701040"/>
        </a:xfrm>
        <a:prstGeom prst="roundRect">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rgbClr val="4A4A4A"/>
              </a:solidFill>
            </a:rPr>
            <a:t>Attrition</a:t>
          </a:r>
          <a:r>
            <a:rPr lang="en-US" sz="1400" b="1" baseline="0">
              <a:solidFill>
                <a:srgbClr val="4A4A4A"/>
              </a:solidFill>
            </a:rPr>
            <a:t> Rate </a:t>
          </a:r>
          <a:endParaRPr lang="en-US" sz="1400" b="1">
            <a:solidFill>
              <a:srgbClr val="4A4A4A"/>
            </a:solidFill>
          </a:endParaRPr>
        </a:p>
      </xdr:txBody>
    </xdr:sp>
    <xdr:clientData/>
  </xdr:twoCellAnchor>
  <xdr:twoCellAnchor>
    <xdr:from>
      <xdr:col>16</xdr:col>
      <xdr:colOff>495300</xdr:colOff>
      <xdr:row>4</xdr:row>
      <xdr:rowOff>121920</xdr:rowOff>
    </xdr:from>
    <xdr:to>
      <xdr:col>19</xdr:col>
      <xdr:colOff>99060</xdr:colOff>
      <xdr:row>8</xdr:row>
      <xdr:rowOff>91440</xdr:rowOff>
    </xdr:to>
    <xdr:sp macro="" textlink="">
      <xdr:nvSpPr>
        <xdr:cNvPr id="29" name="Rectangle: Rounded Corners 28">
          <a:extLst>
            <a:ext uri="{FF2B5EF4-FFF2-40B4-BE49-F238E27FC236}">
              <a16:creationId xmlns:a16="http://schemas.microsoft.com/office/drawing/2014/main" id="{AA95C405-9177-409E-8EB9-3CAB63DEB5EF}"/>
            </a:ext>
          </a:extLst>
        </xdr:cNvPr>
        <xdr:cNvSpPr/>
      </xdr:nvSpPr>
      <xdr:spPr>
        <a:xfrm>
          <a:off x="10248900" y="853440"/>
          <a:ext cx="1432560" cy="701040"/>
        </a:xfrm>
        <a:prstGeom prst="roundRect">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baseline="0">
              <a:solidFill>
                <a:srgbClr val="4A4A4A"/>
              </a:solidFill>
            </a:rPr>
            <a:t>Average  Age</a:t>
          </a:r>
        </a:p>
        <a:p>
          <a:pPr algn="l"/>
          <a:endParaRPr lang="en-US" sz="1400" b="1">
            <a:solidFill>
              <a:srgbClr val="4A4A4A"/>
            </a:solidFill>
          </a:endParaRPr>
        </a:p>
      </xdr:txBody>
    </xdr:sp>
    <xdr:clientData/>
  </xdr:twoCellAnchor>
  <xdr:twoCellAnchor>
    <xdr:from>
      <xdr:col>11</xdr:col>
      <xdr:colOff>129540</xdr:colOff>
      <xdr:row>4</xdr:row>
      <xdr:rowOff>121920</xdr:rowOff>
    </xdr:from>
    <xdr:to>
      <xdr:col>13</xdr:col>
      <xdr:colOff>342900</xdr:colOff>
      <xdr:row>8</xdr:row>
      <xdr:rowOff>91440</xdr:rowOff>
    </xdr:to>
    <xdr:sp macro="" textlink="">
      <xdr:nvSpPr>
        <xdr:cNvPr id="30" name="Rectangle: Rounded Corners 29">
          <a:extLst>
            <a:ext uri="{FF2B5EF4-FFF2-40B4-BE49-F238E27FC236}">
              <a16:creationId xmlns:a16="http://schemas.microsoft.com/office/drawing/2014/main" id="{554EE239-A776-4F6B-9D58-5E78450D1261}"/>
            </a:ext>
          </a:extLst>
        </xdr:cNvPr>
        <xdr:cNvSpPr/>
      </xdr:nvSpPr>
      <xdr:spPr>
        <a:xfrm>
          <a:off x="6794745" y="856378"/>
          <a:ext cx="1425215" cy="703978"/>
        </a:xfrm>
        <a:prstGeom prst="roundRect">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baseline="0">
              <a:solidFill>
                <a:srgbClr val="4A4A4A"/>
              </a:solidFill>
            </a:rPr>
            <a:t>Active</a:t>
          </a:r>
          <a:r>
            <a:rPr lang="en-US" sz="1200" b="1" baseline="0">
              <a:solidFill>
                <a:srgbClr val="4A4A4A"/>
              </a:solidFill>
            </a:rPr>
            <a:t> </a:t>
          </a:r>
        </a:p>
        <a:p>
          <a:pPr algn="l"/>
          <a:endParaRPr lang="en-US" sz="1200" b="1">
            <a:solidFill>
              <a:srgbClr val="4A4A4A"/>
            </a:solidFill>
          </a:endParaRPr>
        </a:p>
      </xdr:txBody>
    </xdr:sp>
    <xdr:clientData/>
  </xdr:twoCellAnchor>
  <xdr:twoCellAnchor>
    <xdr:from>
      <xdr:col>8</xdr:col>
      <xdr:colOff>251460</xdr:colOff>
      <xdr:row>4</xdr:row>
      <xdr:rowOff>121920</xdr:rowOff>
    </xdr:from>
    <xdr:to>
      <xdr:col>10</xdr:col>
      <xdr:colOff>464820</xdr:colOff>
      <xdr:row>8</xdr:row>
      <xdr:rowOff>91440</xdr:rowOff>
    </xdr:to>
    <xdr:sp macro="" textlink="">
      <xdr:nvSpPr>
        <xdr:cNvPr id="31" name="Rectangle: Rounded Corners 30">
          <a:extLst>
            <a:ext uri="{FF2B5EF4-FFF2-40B4-BE49-F238E27FC236}">
              <a16:creationId xmlns:a16="http://schemas.microsoft.com/office/drawing/2014/main" id="{E07EED3B-5A4B-4D10-8E4F-CEF2B92973C6}"/>
            </a:ext>
          </a:extLst>
        </xdr:cNvPr>
        <xdr:cNvSpPr/>
      </xdr:nvSpPr>
      <xdr:spPr>
        <a:xfrm>
          <a:off x="5128260" y="853440"/>
          <a:ext cx="1432560" cy="701040"/>
        </a:xfrm>
        <a:prstGeom prst="roundRect">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rgbClr val="4A4A4A"/>
              </a:solidFill>
            </a:rPr>
            <a:t>Attrition</a:t>
          </a:r>
        </a:p>
      </xdr:txBody>
    </xdr:sp>
    <xdr:clientData/>
  </xdr:twoCellAnchor>
  <xdr:twoCellAnchor>
    <xdr:from>
      <xdr:col>16</xdr:col>
      <xdr:colOff>604520</xdr:colOff>
      <xdr:row>5</xdr:row>
      <xdr:rowOff>172720</xdr:rowOff>
    </xdr:from>
    <xdr:to>
      <xdr:col>18</xdr:col>
      <xdr:colOff>81280</xdr:colOff>
      <xdr:row>8</xdr:row>
      <xdr:rowOff>60960</xdr:rowOff>
    </xdr:to>
    <xdr:sp macro="" textlink="'Pivot table'!$A$4">
      <xdr:nvSpPr>
        <xdr:cNvPr id="4105" name="TextBox 4104">
          <a:extLst>
            <a:ext uri="{FF2B5EF4-FFF2-40B4-BE49-F238E27FC236}">
              <a16:creationId xmlns:a16="http://schemas.microsoft.com/office/drawing/2014/main" id="{23DF38AF-E5CA-4F44-BC5C-B29E1D4E2C6E}"/>
            </a:ext>
          </a:extLst>
        </xdr:cNvPr>
        <xdr:cNvSpPr txBox="1"/>
      </xdr:nvSpPr>
      <xdr:spPr>
        <a:xfrm>
          <a:off x="10358120" y="1087120"/>
          <a:ext cx="695960" cy="436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9C74925-33EC-4060-8208-4799CCD14466}" type="TxLink">
            <a:rPr lang="en-US" sz="1600" b="1" i="0" u="none" strike="noStrike">
              <a:solidFill>
                <a:srgbClr val="1B263B"/>
              </a:solidFill>
              <a:latin typeface="Aptos Narrow"/>
            </a:rPr>
            <a:pPr algn="ctr"/>
            <a:t> </a:t>
          </a:fld>
          <a:endParaRPr lang="en-US" sz="1600" b="1">
            <a:solidFill>
              <a:srgbClr val="1B263B"/>
            </a:solidFill>
          </a:endParaRPr>
        </a:p>
      </xdr:txBody>
    </xdr:sp>
    <xdr:clientData/>
  </xdr:twoCellAnchor>
  <xdr:twoCellAnchor editAs="oneCell">
    <xdr:from>
      <xdr:col>5</xdr:col>
      <xdr:colOff>9181</xdr:colOff>
      <xdr:row>0</xdr:row>
      <xdr:rowOff>64266</xdr:rowOff>
    </xdr:from>
    <xdr:to>
      <xdr:col>5</xdr:col>
      <xdr:colOff>514121</xdr:colOff>
      <xdr:row>3</xdr:row>
      <xdr:rowOff>18363</xdr:rowOff>
    </xdr:to>
    <xdr:pic>
      <xdr:nvPicPr>
        <xdr:cNvPr id="4107" name="Picture 4106">
          <a:extLst>
            <a:ext uri="{FF2B5EF4-FFF2-40B4-BE49-F238E27FC236}">
              <a16:creationId xmlns:a16="http://schemas.microsoft.com/office/drawing/2014/main" id="{2892C66C-0AF8-68BD-4FF0-523AE909D7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38820" y="64266"/>
          <a:ext cx="504940" cy="504940"/>
        </a:xfrm>
        <a:prstGeom prst="rect">
          <a:avLst/>
        </a:prstGeom>
      </xdr:spPr>
    </xdr:pic>
    <xdr:clientData/>
  </xdr:twoCellAnchor>
  <xdr:twoCellAnchor editAs="oneCell">
    <xdr:from>
      <xdr:col>7</xdr:col>
      <xdr:colOff>258653</xdr:colOff>
      <xdr:row>6</xdr:row>
      <xdr:rowOff>12854</xdr:rowOff>
    </xdr:from>
    <xdr:to>
      <xdr:col>8</xdr:col>
      <xdr:colOff>16281</xdr:colOff>
      <xdr:row>8</xdr:row>
      <xdr:rowOff>12853</xdr:rowOff>
    </xdr:to>
    <xdr:pic>
      <xdr:nvPicPr>
        <xdr:cNvPr id="4109" name="Picture 4108">
          <a:extLst>
            <a:ext uri="{FF2B5EF4-FFF2-40B4-BE49-F238E27FC236}">
              <a16:creationId xmlns:a16="http://schemas.microsoft.com/office/drawing/2014/main" id="{1C443958-6527-2F4C-AF69-6E497D2BD47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525853" y="1110134"/>
          <a:ext cx="367228" cy="365759"/>
        </a:xfrm>
        <a:prstGeom prst="rect">
          <a:avLst/>
        </a:prstGeom>
      </xdr:spPr>
    </xdr:pic>
    <xdr:clientData/>
  </xdr:twoCellAnchor>
  <xdr:twoCellAnchor editAs="oneCell">
    <xdr:from>
      <xdr:col>15</xdr:col>
      <xdr:colOff>376409</xdr:colOff>
      <xdr:row>5</xdr:row>
      <xdr:rowOff>174435</xdr:rowOff>
    </xdr:from>
    <xdr:to>
      <xdr:col>16</xdr:col>
      <xdr:colOff>174434</xdr:colOff>
      <xdr:row>8</xdr:row>
      <xdr:rowOff>27543</xdr:rowOff>
    </xdr:to>
    <xdr:pic>
      <xdr:nvPicPr>
        <xdr:cNvPr id="4119" name="Picture 4118">
          <a:extLst>
            <a:ext uri="{FF2B5EF4-FFF2-40B4-BE49-F238E27FC236}">
              <a16:creationId xmlns:a16="http://schemas.microsoft.com/office/drawing/2014/main" id="{83CEEA2C-BF24-DB42-52E2-EBC63972A116}"/>
            </a:ext>
          </a:extLst>
        </xdr:cNvPr>
        <xdr:cNvPicPr>
          <a:picLocks noChangeAspect="1"/>
        </xdr:cNvPicPr>
      </xdr:nvPicPr>
      <xdr:blipFill>
        <a:blip xmlns:r="http://schemas.openxmlformats.org/officeDocument/2006/relationships" r:embed="rId3" cstate="print">
          <a:duotone>
            <a:schemeClr val="accent1">
              <a:shade val="45000"/>
              <a:satMod val="135000"/>
            </a:schemeClr>
            <a:prstClr val="white"/>
          </a:duotone>
          <a:extLst>
            <a:ext uri="{28A0092B-C50C-407E-A947-70E740481C1C}">
              <a14:useLocalDpi xmlns:a14="http://schemas.microsoft.com/office/drawing/2010/main" val="0"/>
            </a:ext>
          </a:extLst>
        </a:blip>
        <a:stretch>
          <a:fillRect/>
        </a:stretch>
      </xdr:blipFill>
      <xdr:spPr>
        <a:xfrm>
          <a:off x="9465325" y="1092507"/>
          <a:ext cx="403952" cy="403952"/>
        </a:xfrm>
        <a:prstGeom prst="rect">
          <a:avLst/>
        </a:prstGeom>
      </xdr:spPr>
    </xdr:pic>
    <xdr:clientData/>
  </xdr:twoCellAnchor>
  <xdr:twoCellAnchor editAs="oneCell">
    <xdr:from>
      <xdr:col>18</xdr:col>
      <xdr:colOff>302966</xdr:colOff>
      <xdr:row>6</xdr:row>
      <xdr:rowOff>36723</xdr:rowOff>
    </xdr:from>
    <xdr:to>
      <xdr:col>18</xdr:col>
      <xdr:colOff>596750</xdr:colOff>
      <xdr:row>7</xdr:row>
      <xdr:rowOff>146893</xdr:rowOff>
    </xdr:to>
    <xdr:pic>
      <xdr:nvPicPr>
        <xdr:cNvPr id="4121" name="Picture 4120">
          <a:extLst>
            <a:ext uri="{FF2B5EF4-FFF2-40B4-BE49-F238E27FC236}">
              <a16:creationId xmlns:a16="http://schemas.microsoft.com/office/drawing/2014/main" id="{71D1400A-487A-9861-A20C-6EB4A69B6327}"/>
            </a:ext>
          </a:extLst>
        </xdr:cNvPr>
        <xdr:cNvPicPr>
          <a:picLocks noChangeAspect="1"/>
        </xdr:cNvPicPr>
      </xdr:nvPicPr>
      <xdr:blipFill>
        <a:blip xmlns:r="http://schemas.openxmlformats.org/officeDocument/2006/relationships" r:embed="rId4" cstate="print">
          <a:duotone>
            <a:schemeClr val="accent1">
              <a:shade val="45000"/>
              <a:satMod val="135000"/>
            </a:schemeClr>
            <a:prstClr val="white"/>
          </a:duotone>
          <a:extLst>
            <a:ext uri="{28A0092B-C50C-407E-A947-70E740481C1C}">
              <a14:useLocalDpi xmlns:a14="http://schemas.microsoft.com/office/drawing/2010/main" val="0"/>
            </a:ext>
          </a:extLst>
        </a:blip>
        <a:stretch>
          <a:fillRect/>
        </a:stretch>
      </xdr:blipFill>
      <xdr:spPr>
        <a:xfrm>
          <a:off x="11275766" y="1134003"/>
          <a:ext cx="293784" cy="293050"/>
        </a:xfrm>
        <a:prstGeom prst="rect">
          <a:avLst/>
        </a:prstGeom>
      </xdr:spPr>
    </xdr:pic>
    <xdr:clientData/>
  </xdr:twoCellAnchor>
  <xdr:twoCellAnchor editAs="oneCell">
    <xdr:from>
      <xdr:col>12</xdr:col>
      <xdr:colOff>312147</xdr:colOff>
      <xdr:row>5</xdr:row>
      <xdr:rowOff>36726</xdr:rowOff>
    </xdr:from>
    <xdr:to>
      <xdr:col>13</xdr:col>
      <xdr:colOff>110169</xdr:colOff>
      <xdr:row>7</xdr:row>
      <xdr:rowOff>73446</xdr:rowOff>
    </xdr:to>
    <xdr:pic>
      <xdr:nvPicPr>
        <xdr:cNvPr id="4123" name="Picture 4122">
          <a:extLst>
            <a:ext uri="{FF2B5EF4-FFF2-40B4-BE49-F238E27FC236}">
              <a16:creationId xmlns:a16="http://schemas.microsoft.com/office/drawing/2014/main" id="{FB28E6DF-5F1D-1AE1-8194-775E79576B6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583280" y="954798"/>
          <a:ext cx="403949" cy="403949"/>
        </a:xfrm>
        <a:prstGeom prst="rect">
          <a:avLst/>
        </a:prstGeom>
      </xdr:spPr>
    </xdr:pic>
    <xdr:clientData/>
  </xdr:twoCellAnchor>
  <xdr:twoCellAnchor editAs="oneCell">
    <xdr:from>
      <xdr:col>9</xdr:col>
      <xdr:colOff>449854</xdr:colOff>
      <xdr:row>5</xdr:row>
      <xdr:rowOff>9182</xdr:rowOff>
    </xdr:from>
    <xdr:to>
      <xdr:col>10</xdr:col>
      <xdr:colOff>403949</xdr:colOff>
      <xdr:row>8</xdr:row>
      <xdr:rowOff>18361</xdr:rowOff>
    </xdr:to>
    <xdr:pic>
      <xdr:nvPicPr>
        <xdr:cNvPr id="4125" name="Picture 4124">
          <a:extLst>
            <a:ext uri="{FF2B5EF4-FFF2-40B4-BE49-F238E27FC236}">
              <a16:creationId xmlns:a16="http://schemas.microsoft.com/office/drawing/2014/main" id="{92EFAE75-4F06-5E7C-F522-2032366D79D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5903203" y="927254"/>
          <a:ext cx="560023" cy="560023"/>
        </a:xfrm>
        <a:prstGeom prst="rect">
          <a:avLst/>
        </a:prstGeom>
      </xdr:spPr>
    </xdr:pic>
    <xdr:clientData/>
  </xdr:twoCellAnchor>
  <xdr:twoCellAnchor>
    <xdr:from>
      <xdr:col>4</xdr:col>
      <xdr:colOff>501728</xdr:colOff>
      <xdr:row>18</xdr:row>
      <xdr:rowOff>133028</xdr:rowOff>
    </xdr:from>
    <xdr:to>
      <xdr:col>9</xdr:col>
      <xdr:colOff>477520</xdr:colOff>
      <xdr:row>33</xdr:row>
      <xdr:rowOff>50800</xdr:rowOff>
    </xdr:to>
    <xdr:graphicFrame macro="">
      <xdr:nvGraphicFramePr>
        <xdr:cNvPr id="4130" name="Chart 4129">
          <a:extLst>
            <a:ext uri="{FF2B5EF4-FFF2-40B4-BE49-F238E27FC236}">
              <a16:creationId xmlns:a16="http://schemas.microsoft.com/office/drawing/2014/main" id="{A3EBF7AC-4152-4F54-BA18-2E99A2A768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529268</xdr:colOff>
      <xdr:row>8</xdr:row>
      <xdr:rowOff>156071</xdr:rowOff>
    </xdr:from>
    <xdr:to>
      <xdr:col>9</xdr:col>
      <xdr:colOff>477397</xdr:colOff>
      <xdr:row>18</xdr:row>
      <xdr:rowOff>82627</xdr:rowOff>
    </xdr:to>
    <xdr:graphicFrame macro="">
      <xdr:nvGraphicFramePr>
        <xdr:cNvPr id="4132" name="Chart 4131">
          <a:extLst>
            <a:ext uri="{FF2B5EF4-FFF2-40B4-BE49-F238E27FC236}">
              <a16:creationId xmlns:a16="http://schemas.microsoft.com/office/drawing/2014/main" id="{F4B5C477-95C5-4378-A196-5A724595F6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593534</xdr:colOff>
      <xdr:row>18</xdr:row>
      <xdr:rowOff>123848</xdr:rowOff>
    </xdr:from>
    <xdr:to>
      <xdr:col>15</xdr:col>
      <xdr:colOff>223520</xdr:colOff>
      <xdr:row>33</xdr:row>
      <xdr:rowOff>50800</xdr:rowOff>
    </xdr:to>
    <xdr:graphicFrame macro="">
      <xdr:nvGraphicFramePr>
        <xdr:cNvPr id="4133" name="Chart 4132">
          <a:extLst>
            <a:ext uri="{FF2B5EF4-FFF2-40B4-BE49-F238E27FC236}">
              <a16:creationId xmlns:a16="http://schemas.microsoft.com/office/drawing/2014/main" id="{7981B775-86A9-4120-90EE-59F91B792E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261680</xdr:colOff>
      <xdr:row>18</xdr:row>
      <xdr:rowOff>111147</xdr:rowOff>
    </xdr:from>
    <xdr:to>
      <xdr:col>20</xdr:col>
      <xdr:colOff>274076</xdr:colOff>
      <xdr:row>33</xdr:row>
      <xdr:rowOff>65244</xdr:rowOff>
    </xdr:to>
    <xdr:graphicFrame macro="">
      <xdr:nvGraphicFramePr>
        <xdr:cNvPr id="4134" name="Chart 4133">
          <a:extLst>
            <a:ext uri="{FF2B5EF4-FFF2-40B4-BE49-F238E27FC236}">
              <a16:creationId xmlns:a16="http://schemas.microsoft.com/office/drawing/2014/main" id="{94BB49C1-E8A9-4ABB-AC7D-AC37B0AB4B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244666</xdr:colOff>
      <xdr:row>8</xdr:row>
      <xdr:rowOff>101569</xdr:rowOff>
    </xdr:from>
    <xdr:to>
      <xdr:col>20</xdr:col>
      <xdr:colOff>238699</xdr:colOff>
      <xdr:row>18</xdr:row>
      <xdr:rowOff>5264</xdr:rowOff>
    </xdr:to>
    <xdr:graphicFrame macro="">
      <xdr:nvGraphicFramePr>
        <xdr:cNvPr id="4135" name="Chart 4134">
          <a:extLst>
            <a:ext uri="{FF2B5EF4-FFF2-40B4-BE49-F238E27FC236}">
              <a16:creationId xmlns:a16="http://schemas.microsoft.com/office/drawing/2014/main" id="{9DE0FF78-702B-47DA-A4E2-DA850572B6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528320</xdr:colOff>
      <xdr:row>8</xdr:row>
      <xdr:rowOff>81280</xdr:rowOff>
    </xdr:from>
    <xdr:to>
      <xdr:col>15</xdr:col>
      <xdr:colOff>152400</xdr:colOff>
      <xdr:row>18</xdr:row>
      <xdr:rowOff>50800</xdr:rowOff>
    </xdr:to>
    <xdr:graphicFrame macro="">
      <xdr:nvGraphicFramePr>
        <xdr:cNvPr id="4136" name="Chart 4135">
          <a:extLst>
            <a:ext uri="{FF2B5EF4-FFF2-40B4-BE49-F238E27FC236}">
              <a16:creationId xmlns:a16="http://schemas.microsoft.com/office/drawing/2014/main" id="{9E7D1250-8BDB-430E-A3FE-C84AAE062E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20</xdr:col>
      <xdr:colOff>325120</xdr:colOff>
      <xdr:row>4</xdr:row>
      <xdr:rowOff>83821</xdr:rowOff>
    </xdr:from>
    <xdr:to>
      <xdr:col>23</xdr:col>
      <xdr:colOff>274320</xdr:colOff>
      <xdr:row>11</xdr:row>
      <xdr:rowOff>152400</xdr:rowOff>
    </xdr:to>
    <mc:AlternateContent xmlns:mc="http://schemas.openxmlformats.org/markup-compatibility/2006" xmlns:a14="http://schemas.microsoft.com/office/drawing/2010/main">
      <mc:Choice Requires="a14">
        <xdr:graphicFrame macro="">
          <xdr:nvGraphicFramePr>
            <xdr:cNvPr id="4137" name="Department 1">
              <a:extLst>
                <a:ext uri="{FF2B5EF4-FFF2-40B4-BE49-F238E27FC236}">
                  <a16:creationId xmlns:a16="http://schemas.microsoft.com/office/drawing/2014/main" id="{09854D75-141F-41E8-9CBB-0D5D2312BCF5}"/>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2517120" y="815341"/>
              <a:ext cx="1778000" cy="13487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325120</xdr:colOff>
      <xdr:row>22</xdr:row>
      <xdr:rowOff>50800</xdr:rowOff>
    </xdr:from>
    <xdr:to>
      <xdr:col>23</xdr:col>
      <xdr:colOff>294640</xdr:colOff>
      <xdr:row>33</xdr:row>
      <xdr:rowOff>20320</xdr:rowOff>
    </xdr:to>
    <mc:AlternateContent xmlns:mc="http://schemas.openxmlformats.org/markup-compatibility/2006">
      <mc:Choice xmlns:a14="http://schemas.microsoft.com/office/drawing/2010/main" Requires="a14">
        <xdr:graphicFrame macro="">
          <xdr:nvGraphicFramePr>
            <xdr:cNvPr id="4139" name="JobRole 1">
              <a:extLst>
                <a:ext uri="{FF2B5EF4-FFF2-40B4-BE49-F238E27FC236}">
                  <a16:creationId xmlns:a16="http://schemas.microsoft.com/office/drawing/2014/main" id="{23519A30-FCDA-4AD4-9AF4-107E3710CE03}"/>
                </a:ext>
              </a:extLst>
            </xdr:cNvPr>
            <xdr:cNvGraphicFramePr/>
          </xdr:nvGraphicFramePr>
          <xdr:xfrm>
            <a:off x="0" y="0"/>
            <a:ext cx="0" cy="0"/>
          </xdr:xfrm>
          <a:graphic>
            <a:graphicData uri="http://schemas.microsoft.com/office/drawing/2010/slicer">
              <sle:slicer xmlns:sle="http://schemas.microsoft.com/office/drawing/2010/slicer" name="JobRole 1"/>
            </a:graphicData>
          </a:graphic>
        </xdr:graphicFrame>
      </mc:Choice>
      <mc:Fallback>
        <xdr:sp macro="" textlink="">
          <xdr:nvSpPr>
            <xdr:cNvPr id="0" name=""/>
            <xdr:cNvSpPr>
              <a:spLocks noTextEdit="1"/>
            </xdr:cNvSpPr>
          </xdr:nvSpPr>
          <xdr:spPr>
            <a:xfrm>
              <a:off x="12517120" y="4074160"/>
              <a:ext cx="1798320" cy="1981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294640</xdr:colOff>
      <xdr:row>12</xdr:row>
      <xdr:rowOff>30481</xdr:rowOff>
    </xdr:from>
    <xdr:to>
      <xdr:col>23</xdr:col>
      <xdr:colOff>335280</xdr:colOff>
      <xdr:row>21</xdr:row>
      <xdr:rowOff>101600</xdr:rowOff>
    </xdr:to>
    <mc:AlternateContent xmlns:mc="http://schemas.openxmlformats.org/markup-compatibility/2006" xmlns:a14="http://schemas.microsoft.com/office/drawing/2010/main">
      <mc:Choice Requires="a14">
        <xdr:graphicFrame macro="">
          <xdr:nvGraphicFramePr>
            <xdr:cNvPr id="4140" name="EducationField 1">
              <a:extLst>
                <a:ext uri="{FF2B5EF4-FFF2-40B4-BE49-F238E27FC236}">
                  <a16:creationId xmlns:a16="http://schemas.microsoft.com/office/drawing/2014/main" id="{2313D07B-6C1D-4E3A-87B9-B502A65DD356}"/>
                </a:ext>
              </a:extLst>
            </xdr:cNvPr>
            <xdr:cNvGraphicFramePr/>
          </xdr:nvGraphicFramePr>
          <xdr:xfrm>
            <a:off x="0" y="0"/>
            <a:ext cx="0" cy="0"/>
          </xdr:xfrm>
          <a:graphic>
            <a:graphicData uri="http://schemas.microsoft.com/office/drawing/2010/slicer">
              <sle:slicer xmlns:sle="http://schemas.microsoft.com/office/drawing/2010/slicer" name="EducationField 1"/>
            </a:graphicData>
          </a:graphic>
        </xdr:graphicFrame>
      </mc:Choice>
      <mc:Fallback xmlns="">
        <xdr:sp macro="" textlink="">
          <xdr:nvSpPr>
            <xdr:cNvPr id="0" name=""/>
            <xdr:cNvSpPr>
              <a:spLocks noTextEdit="1"/>
            </xdr:cNvSpPr>
          </xdr:nvSpPr>
          <xdr:spPr>
            <a:xfrm>
              <a:off x="12486640" y="2225041"/>
              <a:ext cx="1869440" cy="17170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518160</xdr:colOff>
      <xdr:row>0</xdr:row>
      <xdr:rowOff>101600</xdr:rowOff>
    </xdr:from>
    <xdr:to>
      <xdr:col>14</xdr:col>
      <xdr:colOff>193040</xdr:colOff>
      <xdr:row>3</xdr:row>
      <xdr:rowOff>60960</xdr:rowOff>
    </xdr:to>
    <xdr:sp macro="" textlink="">
      <xdr:nvSpPr>
        <xdr:cNvPr id="4141" name="Rectangle: Rounded Corners 4140">
          <a:extLst>
            <a:ext uri="{FF2B5EF4-FFF2-40B4-BE49-F238E27FC236}">
              <a16:creationId xmlns:a16="http://schemas.microsoft.com/office/drawing/2014/main" id="{CC017DEE-23E4-DB8E-7121-5B0BE58EBD7C}"/>
            </a:ext>
          </a:extLst>
        </xdr:cNvPr>
        <xdr:cNvSpPr/>
      </xdr:nvSpPr>
      <xdr:spPr>
        <a:xfrm>
          <a:off x="7223760" y="101600"/>
          <a:ext cx="1503680" cy="508000"/>
        </a:xfrm>
        <a:prstGeom prst="roundRect">
          <a:avLst/>
        </a:prstGeom>
        <a:solidFill>
          <a:srgbClr val="1A3C6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lvl="0" algn="r"/>
          <a:r>
            <a:rPr lang="en-US" sz="1200">
              <a:solidFill>
                <a:schemeClr val="bg1"/>
              </a:solidFill>
              <a:effectLst>
                <a:glow rad="228600">
                  <a:schemeClr val="accent1">
                    <a:satMod val="175000"/>
                    <a:alpha val="40000"/>
                  </a:schemeClr>
                </a:glow>
              </a:effectLst>
            </a:rPr>
            <a:t>Workforce</a:t>
          </a:r>
          <a:r>
            <a:rPr lang="en-US">
              <a:solidFill>
                <a:srgbClr val="1A3C6C"/>
              </a:solidFill>
              <a:effectLst>
                <a:glow rad="228600">
                  <a:schemeClr val="accent1">
                    <a:satMod val="175000"/>
                    <a:alpha val="40000"/>
                  </a:schemeClr>
                </a:glow>
              </a:effectLst>
            </a:rPr>
            <a:t> </a:t>
          </a:r>
          <a:r>
            <a:rPr lang="en-US">
              <a:solidFill>
                <a:schemeClr val="bg1"/>
              </a:solidFill>
              <a:effectLst>
                <a:glow rad="228600">
                  <a:schemeClr val="accent1">
                    <a:satMod val="175000"/>
                    <a:alpha val="40000"/>
                  </a:schemeClr>
                </a:glow>
              </a:effectLst>
            </a:rPr>
            <a:t>Overview</a:t>
          </a:r>
          <a:endParaRPr lang="en-US" sz="1100">
            <a:solidFill>
              <a:schemeClr val="bg1"/>
            </a:solidFill>
            <a:effectLst>
              <a:glow rad="228600">
                <a:schemeClr val="accent1">
                  <a:satMod val="175000"/>
                  <a:alpha val="40000"/>
                </a:schemeClr>
              </a:glow>
            </a:effectLst>
          </a:endParaRPr>
        </a:p>
      </xdr:txBody>
    </xdr:sp>
    <xdr:clientData/>
  </xdr:twoCellAnchor>
  <xdr:twoCellAnchor>
    <xdr:from>
      <xdr:col>14</xdr:col>
      <xdr:colOff>111760</xdr:colOff>
      <xdr:row>0</xdr:row>
      <xdr:rowOff>106680</xdr:rowOff>
    </xdr:from>
    <xdr:to>
      <xdr:col>16</xdr:col>
      <xdr:colOff>416560</xdr:colOff>
      <xdr:row>3</xdr:row>
      <xdr:rowOff>55880</xdr:rowOff>
    </xdr:to>
    <xdr:sp macro="" textlink="">
      <xdr:nvSpPr>
        <xdr:cNvPr id="4143" name="Rectangle: Rounded Corners 4142">
          <a:hlinkClick xmlns:r="http://schemas.openxmlformats.org/officeDocument/2006/relationships" r:id="rId13"/>
          <a:extLst>
            <a:ext uri="{FF2B5EF4-FFF2-40B4-BE49-F238E27FC236}">
              <a16:creationId xmlns:a16="http://schemas.microsoft.com/office/drawing/2014/main" id="{994FC39C-1F23-0EFA-0EC6-1B4A1BE94ECB}"/>
            </a:ext>
          </a:extLst>
        </xdr:cNvPr>
        <xdr:cNvSpPr/>
      </xdr:nvSpPr>
      <xdr:spPr>
        <a:xfrm>
          <a:off x="8646160" y="106680"/>
          <a:ext cx="1524000" cy="4978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200"/>
            <a:t>Attrition Analysis</a:t>
          </a:r>
        </a:p>
      </xdr:txBody>
    </xdr:sp>
    <xdr:clientData/>
  </xdr:twoCellAnchor>
  <xdr:twoCellAnchor>
    <xdr:from>
      <xdr:col>5</xdr:col>
      <xdr:colOff>558800</xdr:colOff>
      <xdr:row>6</xdr:row>
      <xdr:rowOff>50800</xdr:rowOff>
    </xdr:from>
    <xdr:to>
      <xdr:col>7</xdr:col>
      <xdr:colOff>91440</xdr:colOff>
      <xdr:row>8</xdr:row>
      <xdr:rowOff>40640</xdr:rowOff>
    </xdr:to>
    <xdr:sp macro="" textlink="'Pivot table'!$B$4">
      <xdr:nvSpPr>
        <xdr:cNvPr id="4147" name="Rectangle: Rounded Corners 4146">
          <a:extLst>
            <a:ext uri="{FF2B5EF4-FFF2-40B4-BE49-F238E27FC236}">
              <a16:creationId xmlns:a16="http://schemas.microsoft.com/office/drawing/2014/main" id="{BD0F4E75-54F2-F6D0-58BE-FE6549E5F7B5}"/>
            </a:ext>
          </a:extLst>
        </xdr:cNvPr>
        <xdr:cNvSpPr/>
      </xdr:nvSpPr>
      <xdr:spPr>
        <a:xfrm>
          <a:off x="3606800" y="1148080"/>
          <a:ext cx="751840" cy="3556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85F7100-C76C-4655-8891-64EA1AA0CCBD}" type="TxLink">
            <a:rPr lang="en-US" sz="1600" b="1" i="0" u="none" strike="noStrike">
              <a:solidFill>
                <a:srgbClr val="1B263B"/>
              </a:solidFill>
              <a:latin typeface="Aptos Narrow"/>
            </a:rPr>
            <a:pPr algn="l"/>
            <a:t> </a:t>
          </a:fld>
          <a:endParaRPr lang="en-US" sz="1600" b="1">
            <a:solidFill>
              <a:srgbClr val="1B263B"/>
            </a:solidFill>
          </a:endParaRPr>
        </a:p>
      </xdr:txBody>
    </xdr:sp>
    <xdr:clientData/>
  </xdr:twoCellAnchor>
  <xdr:twoCellAnchor>
    <xdr:from>
      <xdr:col>5</xdr:col>
      <xdr:colOff>599440</xdr:colOff>
      <xdr:row>6</xdr:row>
      <xdr:rowOff>71120</xdr:rowOff>
    </xdr:from>
    <xdr:to>
      <xdr:col>7</xdr:col>
      <xdr:colOff>132080</xdr:colOff>
      <xdr:row>8</xdr:row>
      <xdr:rowOff>0</xdr:rowOff>
    </xdr:to>
    <xdr:sp macro="" textlink="'Pivot table'!$A$3">
      <xdr:nvSpPr>
        <xdr:cNvPr id="8" name="Rectangle: Rounded Corners 7">
          <a:extLst>
            <a:ext uri="{FF2B5EF4-FFF2-40B4-BE49-F238E27FC236}">
              <a16:creationId xmlns:a16="http://schemas.microsoft.com/office/drawing/2014/main" id="{67BB5EA7-FA97-D2EF-2B84-0A358820B149}"/>
            </a:ext>
          </a:extLst>
        </xdr:cNvPr>
        <xdr:cNvSpPr/>
      </xdr:nvSpPr>
      <xdr:spPr>
        <a:xfrm>
          <a:off x="3647440" y="1168400"/>
          <a:ext cx="751840" cy="2946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32CD45A-4813-4AF5-8A0E-572F66973189}" type="TxLink">
            <a:rPr lang="en-US" sz="1600" b="1" i="0" u="none" strike="noStrike">
              <a:solidFill>
                <a:srgbClr val="1B263B"/>
              </a:solidFill>
              <a:latin typeface="Aptos Narrow"/>
            </a:rPr>
            <a:t>1470</a:t>
          </a:fld>
          <a:endParaRPr lang="en-US" sz="1600" b="1">
            <a:solidFill>
              <a:srgbClr val="1B263B"/>
            </a:solidFill>
          </a:endParaRPr>
        </a:p>
      </xdr:txBody>
    </xdr:sp>
    <xdr:clientData/>
  </xdr:twoCellAnchor>
  <xdr:twoCellAnchor>
    <xdr:from>
      <xdr:col>17</xdr:col>
      <xdr:colOff>172720</xdr:colOff>
      <xdr:row>6</xdr:row>
      <xdr:rowOff>10160</xdr:rowOff>
    </xdr:from>
    <xdr:to>
      <xdr:col>18</xdr:col>
      <xdr:colOff>274320</xdr:colOff>
      <xdr:row>8</xdr:row>
      <xdr:rowOff>142240</xdr:rowOff>
    </xdr:to>
    <xdr:sp macro="" textlink="'Pivot table'!$B$3">
      <xdr:nvSpPr>
        <xdr:cNvPr id="9" name="Rectangle: Rounded Corners 8">
          <a:extLst>
            <a:ext uri="{FF2B5EF4-FFF2-40B4-BE49-F238E27FC236}">
              <a16:creationId xmlns:a16="http://schemas.microsoft.com/office/drawing/2014/main" id="{5D4170FF-8BBB-C2DF-6A0D-C3ED5D3772A9}"/>
            </a:ext>
          </a:extLst>
        </xdr:cNvPr>
        <xdr:cNvSpPr/>
      </xdr:nvSpPr>
      <xdr:spPr>
        <a:xfrm>
          <a:off x="10535920" y="1107440"/>
          <a:ext cx="711200" cy="4978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F5687E1-0248-4C0E-991C-91DF45CD2258}" type="TxLink">
            <a:rPr lang="en-US" sz="1600" b="1" i="0" u="none" strike="noStrike">
              <a:solidFill>
                <a:srgbClr val="1B263B"/>
              </a:solidFill>
              <a:latin typeface="Aptos Narrow"/>
            </a:rPr>
            <a:t>37</a:t>
          </a:fld>
          <a:endParaRPr lang="en-US" sz="1600" b="1">
            <a:solidFill>
              <a:srgbClr val="1B263B"/>
            </a:solidFill>
          </a:endParaRPr>
        </a:p>
      </xdr:txBody>
    </xdr:sp>
    <xdr:clientData/>
  </xdr:twoCellAnchor>
  <xdr:twoCellAnchor>
    <xdr:from>
      <xdr:col>8</xdr:col>
      <xdr:colOff>416560</xdr:colOff>
      <xdr:row>6</xdr:row>
      <xdr:rowOff>60960</xdr:rowOff>
    </xdr:from>
    <xdr:to>
      <xdr:col>9</xdr:col>
      <xdr:colOff>436880</xdr:colOff>
      <xdr:row>7</xdr:row>
      <xdr:rowOff>152400</xdr:rowOff>
    </xdr:to>
    <xdr:sp macro="" textlink="'Pivot table'!$H$3">
      <xdr:nvSpPr>
        <xdr:cNvPr id="10" name="Rectangle: Rounded Corners 9">
          <a:extLst>
            <a:ext uri="{FF2B5EF4-FFF2-40B4-BE49-F238E27FC236}">
              <a16:creationId xmlns:a16="http://schemas.microsoft.com/office/drawing/2014/main" id="{ECA3174B-2205-8406-083F-70BDC9CB97FF}"/>
            </a:ext>
          </a:extLst>
        </xdr:cNvPr>
        <xdr:cNvSpPr/>
      </xdr:nvSpPr>
      <xdr:spPr>
        <a:xfrm>
          <a:off x="5293360" y="1158240"/>
          <a:ext cx="629920" cy="2743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D93B657-52CE-48A1-A34F-06DDD1553DEF}" type="TxLink">
            <a:rPr lang="en-US" sz="1600" b="1" i="0" u="none" strike="noStrike">
              <a:solidFill>
                <a:srgbClr val="1B263B"/>
              </a:solidFill>
              <a:latin typeface="Aptos Narrow"/>
            </a:rPr>
            <a:t>237</a:t>
          </a:fld>
          <a:endParaRPr lang="en-US" sz="1600" b="1">
            <a:solidFill>
              <a:srgbClr val="1B263B"/>
            </a:solidFill>
          </a:endParaRPr>
        </a:p>
      </xdr:txBody>
    </xdr:sp>
    <xdr:clientData/>
  </xdr:twoCellAnchor>
  <xdr:twoCellAnchor>
    <xdr:from>
      <xdr:col>11</xdr:col>
      <xdr:colOff>251705</xdr:colOff>
      <xdr:row>6</xdr:row>
      <xdr:rowOff>63898</xdr:rowOff>
    </xdr:from>
    <xdr:to>
      <xdr:col>12</xdr:col>
      <xdr:colOff>272025</xdr:colOff>
      <xdr:row>7</xdr:row>
      <xdr:rowOff>155338</xdr:rowOff>
    </xdr:to>
    <xdr:sp macro="" textlink="'Pivot table'!$H$2">
      <xdr:nvSpPr>
        <xdr:cNvPr id="11" name="Rectangle: Rounded Corners 10">
          <a:extLst>
            <a:ext uri="{FF2B5EF4-FFF2-40B4-BE49-F238E27FC236}">
              <a16:creationId xmlns:a16="http://schemas.microsoft.com/office/drawing/2014/main" id="{75C8C1EE-B163-4E83-9920-0AA8C382F58A}"/>
            </a:ext>
          </a:extLst>
        </xdr:cNvPr>
        <xdr:cNvSpPr/>
      </xdr:nvSpPr>
      <xdr:spPr>
        <a:xfrm>
          <a:off x="6957305" y="1161178"/>
          <a:ext cx="629920" cy="2743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E086610-F109-45F8-9F74-B70125F46473}" type="TxLink">
            <a:rPr lang="en-US" sz="1600" b="1" i="0" u="none" strike="noStrike">
              <a:solidFill>
                <a:srgbClr val="1B263B"/>
              </a:solidFill>
              <a:latin typeface="Aptos Narrow"/>
            </a:rPr>
            <a:t>1233</a:t>
          </a:fld>
          <a:endParaRPr lang="en-US" sz="1600" b="1">
            <a:solidFill>
              <a:srgbClr val="1B263B"/>
            </a:solidFill>
          </a:endParaRPr>
        </a:p>
      </xdr:txBody>
    </xdr:sp>
    <xdr:clientData/>
  </xdr:twoCellAnchor>
  <xdr:twoCellAnchor>
    <xdr:from>
      <xdr:col>14</xdr:col>
      <xdr:colOff>172720</xdr:colOff>
      <xdr:row>6</xdr:row>
      <xdr:rowOff>43578</xdr:rowOff>
    </xdr:from>
    <xdr:to>
      <xdr:col>15</xdr:col>
      <xdr:colOff>467360</xdr:colOff>
      <xdr:row>8</xdr:row>
      <xdr:rowOff>10160</xdr:rowOff>
    </xdr:to>
    <xdr:sp macro="" textlink="'Pivot table'!$I$3">
      <xdr:nvSpPr>
        <xdr:cNvPr id="12" name="Rectangle: Rounded Corners 11">
          <a:extLst>
            <a:ext uri="{FF2B5EF4-FFF2-40B4-BE49-F238E27FC236}">
              <a16:creationId xmlns:a16="http://schemas.microsoft.com/office/drawing/2014/main" id="{25067EC1-836C-4D04-840E-3105DE131AB9}"/>
            </a:ext>
          </a:extLst>
        </xdr:cNvPr>
        <xdr:cNvSpPr/>
      </xdr:nvSpPr>
      <xdr:spPr>
        <a:xfrm>
          <a:off x="8707120" y="1140858"/>
          <a:ext cx="904240" cy="332342"/>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E9DBEB9-2C18-4883-9099-1FE8C561DD2F}" type="TxLink">
            <a:rPr lang="en-US" sz="1600" b="1" i="0" u="none" strike="noStrike">
              <a:solidFill>
                <a:srgbClr val="1B263B"/>
              </a:solidFill>
              <a:latin typeface="Aptos Narrow"/>
            </a:rPr>
            <a:t>16.12%</a:t>
          </a:fld>
          <a:endParaRPr lang="en-US" sz="1600" b="1">
            <a:solidFill>
              <a:srgbClr val="1B263B"/>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91440</xdr:colOff>
      <xdr:row>0</xdr:row>
      <xdr:rowOff>53340</xdr:rowOff>
    </xdr:from>
    <xdr:to>
      <xdr:col>24</xdr:col>
      <xdr:colOff>40639</xdr:colOff>
      <xdr:row>33</xdr:row>
      <xdr:rowOff>159010</xdr:rowOff>
    </xdr:to>
    <xdr:sp macro="" textlink="">
      <xdr:nvSpPr>
        <xdr:cNvPr id="2" name="Rectangle 1">
          <a:extLst>
            <a:ext uri="{FF2B5EF4-FFF2-40B4-BE49-F238E27FC236}">
              <a16:creationId xmlns:a16="http://schemas.microsoft.com/office/drawing/2014/main" id="{3EC6994D-B2F9-4A82-A57A-E0A0A0539DB0}"/>
            </a:ext>
          </a:extLst>
        </xdr:cNvPr>
        <xdr:cNvSpPr/>
      </xdr:nvSpPr>
      <xdr:spPr>
        <a:xfrm>
          <a:off x="2529840" y="53340"/>
          <a:ext cx="12141199" cy="6140710"/>
        </a:xfrm>
        <a:prstGeom prst="rect">
          <a:avLst/>
        </a:prstGeom>
        <a:solidFill>
          <a:srgbClr val="F0F2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noFill/>
          </a:endParaRPr>
        </a:p>
      </xdr:txBody>
    </xdr:sp>
    <xdr:clientData/>
  </xdr:twoCellAnchor>
  <xdr:twoCellAnchor>
    <xdr:from>
      <xdr:col>4</xdr:col>
      <xdr:colOff>142240</xdr:colOff>
      <xdr:row>0</xdr:row>
      <xdr:rowOff>53340</xdr:rowOff>
    </xdr:from>
    <xdr:to>
      <xdr:col>23</xdr:col>
      <xdr:colOff>589280</xdr:colOff>
      <xdr:row>3</xdr:row>
      <xdr:rowOff>76200</xdr:rowOff>
    </xdr:to>
    <xdr:sp macro="" textlink="">
      <xdr:nvSpPr>
        <xdr:cNvPr id="3" name="Rectangle: Rounded Corners 2">
          <a:extLst>
            <a:ext uri="{FF2B5EF4-FFF2-40B4-BE49-F238E27FC236}">
              <a16:creationId xmlns:a16="http://schemas.microsoft.com/office/drawing/2014/main" id="{71FC143F-9BF8-47B7-B348-30A431281800}"/>
            </a:ext>
          </a:extLst>
        </xdr:cNvPr>
        <xdr:cNvSpPr/>
      </xdr:nvSpPr>
      <xdr:spPr>
        <a:xfrm>
          <a:off x="2580640" y="53340"/>
          <a:ext cx="12029440" cy="571500"/>
        </a:xfrm>
        <a:prstGeom prst="roundRect">
          <a:avLst/>
        </a:prstGeom>
        <a:solidFill>
          <a:srgbClr val="1A3C6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endParaRPr lang="en-US" sz="1100"/>
        </a:p>
      </xdr:txBody>
    </xdr:sp>
    <xdr:clientData/>
  </xdr:twoCellAnchor>
  <xdr:twoCellAnchor>
    <xdr:from>
      <xdr:col>7</xdr:col>
      <xdr:colOff>304800</xdr:colOff>
      <xdr:row>0</xdr:row>
      <xdr:rowOff>152400</xdr:rowOff>
    </xdr:from>
    <xdr:to>
      <xdr:col>14</xdr:col>
      <xdr:colOff>0</xdr:colOff>
      <xdr:row>2</xdr:row>
      <xdr:rowOff>121920</xdr:rowOff>
    </xdr:to>
    <xdr:sp macro="" textlink="">
      <xdr:nvSpPr>
        <xdr:cNvPr id="4" name="TextBox 3">
          <a:extLst>
            <a:ext uri="{FF2B5EF4-FFF2-40B4-BE49-F238E27FC236}">
              <a16:creationId xmlns:a16="http://schemas.microsoft.com/office/drawing/2014/main" id="{DBA5CE8A-AB87-4DE5-B5D6-6CF019FAF161}"/>
            </a:ext>
          </a:extLst>
        </xdr:cNvPr>
        <xdr:cNvSpPr txBox="1"/>
      </xdr:nvSpPr>
      <xdr:spPr>
        <a:xfrm>
          <a:off x="4572000" y="152400"/>
          <a:ext cx="396240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ar-SA" sz="1600">
              <a:solidFill>
                <a:schemeClr val="bg1"/>
              </a:solidFill>
              <a:effectLst/>
              <a:latin typeface="+mn-lt"/>
              <a:ea typeface="+mn-ea"/>
              <a:cs typeface="+mn-cs"/>
            </a:rPr>
            <a:t>   </a:t>
          </a:r>
          <a:r>
            <a:rPr lang="en-US" sz="1600">
              <a:solidFill>
                <a:schemeClr val="bg1"/>
              </a:solidFill>
              <a:effectLst/>
              <a:latin typeface="+mn-lt"/>
              <a:ea typeface="+mn-ea"/>
              <a:cs typeface="+mn-cs"/>
            </a:rPr>
            <a:t>HR Analytics Dashboard</a:t>
          </a:r>
          <a:endParaRPr lang="en-US" sz="1600">
            <a:solidFill>
              <a:schemeClr val="bg1"/>
            </a:solidFill>
            <a:effectLst/>
          </a:endParaRPr>
        </a:p>
        <a:p>
          <a:pPr algn="l"/>
          <a:endParaRPr lang="en-US" sz="1600">
            <a:ln>
              <a:noFill/>
            </a:ln>
            <a:solidFill>
              <a:schemeClr val="bg1"/>
            </a:solidFill>
            <a:effectLst>
              <a:innerShdw blurRad="63500" dist="50800" dir="13500000">
                <a:prstClr val="black">
                  <a:alpha val="50000"/>
                </a:prstClr>
              </a:innerShdw>
            </a:effectLst>
          </a:endParaRPr>
        </a:p>
      </xdr:txBody>
    </xdr:sp>
    <xdr:clientData/>
  </xdr:twoCellAnchor>
  <xdr:twoCellAnchor>
    <xdr:from>
      <xdr:col>5</xdr:col>
      <xdr:colOff>373380</xdr:colOff>
      <xdr:row>4</xdr:row>
      <xdr:rowOff>121920</xdr:rowOff>
    </xdr:from>
    <xdr:to>
      <xdr:col>8</xdr:col>
      <xdr:colOff>71120</xdr:colOff>
      <xdr:row>8</xdr:row>
      <xdr:rowOff>91440</xdr:rowOff>
    </xdr:to>
    <xdr:sp macro="" textlink="">
      <xdr:nvSpPr>
        <xdr:cNvPr id="5" name="Rectangle: Rounded Corners 4">
          <a:extLst>
            <a:ext uri="{FF2B5EF4-FFF2-40B4-BE49-F238E27FC236}">
              <a16:creationId xmlns:a16="http://schemas.microsoft.com/office/drawing/2014/main" id="{EE365116-10E7-4A15-930B-F2994B135B2E}"/>
            </a:ext>
          </a:extLst>
        </xdr:cNvPr>
        <xdr:cNvSpPr/>
      </xdr:nvSpPr>
      <xdr:spPr>
        <a:xfrm>
          <a:off x="3421380" y="853440"/>
          <a:ext cx="1526540" cy="701040"/>
        </a:xfrm>
        <a:prstGeom prst="roundRect">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rgbClr val="4A4A4A"/>
              </a:solidFill>
            </a:rPr>
            <a:t>Total</a:t>
          </a:r>
          <a:r>
            <a:rPr lang="en-US" sz="1400" b="1" baseline="0">
              <a:solidFill>
                <a:srgbClr val="1A3C6C"/>
              </a:solidFill>
            </a:rPr>
            <a:t> </a:t>
          </a:r>
          <a:r>
            <a:rPr lang="en-US" sz="1400" b="1" baseline="0">
              <a:solidFill>
                <a:srgbClr val="4A4A4A"/>
              </a:solidFill>
            </a:rPr>
            <a:t>Employees</a:t>
          </a:r>
        </a:p>
        <a:p>
          <a:pPr algn="ctr"/>
          <a:endParaRPr lang="en-US" sz="1200" b="1">
            <a:solidFill>
              <a:srgbClr val="1A3C6C"/>
            </a:solidFill>
          </a:endParaRPr>
        </a:p>
      </xdr:txBody>
    </xdr:sp>
    <xdr:clientData/>
  </xdr:twoCellAnchor>
  <xdr:twoCellAnchor>
    <xdr:from>
      <xdr:col>14</xdr:col>
      <xdr:colOff>7620</xdr:colOff>
      <xdr:row>4</xdr:row>
      <xdr:rowOff>121920</xdr:rowOff>
    </xdr:from>
    <xdr:to>
      <xdr:col>16</xdr:col>
      <xdr:colOff>220980</xdr:colOff>
      <xdr:row>8</xdr:row>
      <xdr:rowOff>91440</xdr:rowOff>
    </xdr:to>
    <xdr:sp macro="" textlink="">
      <xdr:nvSpPr>
        <xdr:cNvPr id="6" name="Rectangle: Rounded Corners 5">
          <a:extLst>
            <a:ext uri="{FF2B5EF4-FFF2-40B4-BE49-F238E27FC236}">
              <a16:creationId xmlns:a16="http://schemas.microsoft.com/office/drawing/2014/main" id="{269ABB8E-7449-40A4-B296-E3DDE1B8BA91}"/>
            </a:ext>
          </a:extLst>
        </xdr:cNvPr>
        <xdr:cNvSpPr/>
      </xdr:nvSpPr>
      <xdr:spPr>
        <a:xfrm>
          <a:off x="8542020" y="853440"/>
          <a:ext cx="1432560" cy="701040"/>
        </a:xfrm>
        <a:prstGeom prst="roundRect">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rgbClr val="4A4A4A"/>
              </a:solidFill>
            </a:rPr>
            <a:t>Attrition</a:t>
          </a:r>
          <a:r>
            <a:rPr lang="en-US" sz="1400" b="1" baseline="0">
              <a:solidFill>
                <a:srgbClr val="4A4A4A"/>
              </a:solidFill>
            </a:rPr>
            <a:t> Rate </a:t>
          </a:r>
          <a:endParaRPr lang="en-US" sz="1400" b="1">
            <a:solidFill>
              <a:srgbClr val="4A4A4A"/>
            </a:solidFill>
          </a:endParaRPr>
        </a:p>
      </xdr:txBody>
    </xdr:sp>
    <xdr:clientData/>
  </xdr:twoCellAnchor>
  <xdr:twoCellAnchor>
    <xdr:from>
      <xdr:col>16</xdr:col>
      <xdr:colOff>495300</xdr:colOff>
      <xdr:row>4</xdr:row>
      <xdr:rowOff>121920</xdr:rowOff>
    </xdr:from>
    <xdr:to>
      <xdr:col>19</xdr:col>
      <xdr:colOff>99060</xdr:colOff>
      <xdr:row>8</xdr:row>
      <xdr:rowOff>91440</xdr:rowOff>
    </xdr:to>
    <xdr:sp macro="" textlink="">
      <xdr:nvSpPr>
        <xdr:cNvPr id="7" name="Rectangle: Rounded Corners 6">
          <a:extLst>
            <a:ext uri="{FF2B5EF4-FFF2-40B4-BE49-F238E27FC236}">
              <a16:creationId xmlns:a16="http://schemas.microsoft.com/office/drawing/2014/main" id="{353709F6-BBF3-482A-A090-955E182DC6C0}"/>
            </a:ext>
          </a:extLst>
        </xdr:cNvPr>
        <xdr:cNvSpPr/>
      </xdr:nvSpPr>
      <xdr:spPr>
        <a:xfrm>
          <a:off x="10248900" y="853440"/>
          <a:ext cx="1432560" cy="701040"/>
        </a:xfrm>
        <a:prstGeom prst="roundRect">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baseline="0">
              <a:solidFill>
                <a:srgbClr val="4A4A4A"/>
              </a:solidFill>
            </a:rPr>
            <a:t>Average  Age</a:t>
          </a:r>
        </a:p>
        <a:p>
          <a:pPr algn="l"/>
          <a:endParaRPr lang="en-US" sz="1400" b="1">
            <a:solidFill>
              <a:srgbClr val="4A4A4A"/>
            </a:solidFill>
          </a:endParaRPr>
        </a:p>
      </xdr:txBody>
    </xdr:sp>
    <xdr:clientData/>
  </xdr:twoCellAnchor>
  <xdr:twoCellAnchor>
    <xdr:from>
      <xdr:col>11</xdr:col>
      <xdr:colOff>129540</xdr:colOff>
      <xdr:row>4</xdr:row>
      <xdr:rowOff>121920</xdr:rowOff>
    </xdr:from>
    <xdr:to>
      <xdr:col>13</xdr:col>
      <xdr:colOff>342900</xdr:colOff>
      <xdr:row>8</xdr:row>
      <xdr:rowOff>91440</xdr:rowOff>
    </xdr:to>
    <xdr:sp macro="" textlink="">
      <xdr:nvSpPr>
        <xdr:cNvPr id="8" name="Rectangle: Rounded Corners 7">
          <a:extLst>
            <a:ext uri="{FF2B5EF4-FFF2-40B4-BE49-F238E27FC236}">
              <a16:creationId xmlns:a16="http://schemas.microsoft.com/office/drawing/2014/main" id="{8E5A4099-42F4-4A09-95CE-0DCFEE5CC765}"/>
            </a:ext>
          </a:extLst>
        </xdr:cNvPr>
        <xdr:cNvSpPr/>
      </xdr:nvSpPr>
      <xdr:spPr>
        <a:xfrm>
          <a:off x="6835140" y="853440"/>
          <a:ext cx="1432560" cy="701040"/>
        </a:xfrm>
        <a:prstGeom prst="roundRect">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baseline="0">
              <a:solidFill>
                <a:srgbClr val="4A4A4A"/>
              </a:solidFill>
            </a:rPr>
            <a:t>Active</a:t>
          </a:r>
          <a:r>
            <a:rPr lang="en-US" sz="1200" b="1" baseline="0">
              <a:solidFill>
                <a:srgbClr val="4A4A4A"/>
              </a:solidFill>
            </a:rPr>
            <a:t> </a:t>
          </a:r>
        </a:p>
        <a:p>
          <a:pPr algn="l"/>
          <a:endParaRPr lang="en-US" sz="1200" b="1">
            <a:solidFill>
              <a:srgbClr val="4A4A4A"/>
            </a:solidFill>
          </a:endParaRPr>
        </a:p>
      </xdr:txBody>
    </xdr:sp>
    <xdr:clientData/>
  </xdr:twoCellAnchor>
  <xdr:twoCellAnchor>
    <xdr:from>
      <xdr:col>8</xdr:col>
      <xdr:colOff>251460</xdr:colOff>
      <xdr:row>4</xdr:row>
      <xdr:rowOff>121920</xdr:rowOff>
    </xdr:from>
    <xdr:to>
      <xdr:col>10</xdr:col>
      <xdr:colOff>464820</xdr:colOff>
      <xdr:row>8</xdr:row>
      <xdr:rowOff>91440</xdr:rowOff>
    </xdr:to>
    <xdr:sp macro="" textlink="">
      <xdr:nvSpPr>
        <xdr:cNvPr id="9" name="Rectangle: Rounded Corners 8">
          <a:extLst>
            <a:ext uri="{FF2B5EF4-FFF2-40B4-BE49-F238E27FC236}">
              <a16:creationId xmlns:a16="http://schemas.microsoft.com/office/drawing/2014/main" id="{F29804E6-5981-4E94-AAF2-9CCA1AAEE59A}"/>
            </a:ext>
          </a:extLst>
        </xdr:cNvPr>
        <xdr:cNvSpPr/>
      </xdr:nvSpPr>
      <xdr:spPr>
        <a:xfrm>
          <a:off x="5128260" y="853440"/>
          <a:ext cx="1432560" cy="701040"/>
        </a:xfrm>
        <a:prstGeom prst="roundRect">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rgbClr val="4A4A4A"/>
              </a:solidFill>
            </a:rPr>
            <a:t>Attrition</a:t>
          </a:r>
        </a:p>
      </xdr:txBody>
    </xdr:sp>
    <xdr:clientData/>
  </xdr:twoCellAnchor>
  <xdr:twoCellAnchor>
    <xdr:from>
      <xdr:col>16</xdr:col>
      <xdr:colOff>604520</xdr:colOff>
      <xdr:row>5</xdr:row>
      <xdr:rowOff>172720</xdr:rowOff>
    </xdr:from>
    <xdr:to>
      <xdr:col>18</xdr:col>
      <xdr:colOff>81280</xdr:colOff>
      <xdr:row>8</xdr:row>
      <xdr:rowOff>60960</xdr:rowOff>
    </xdr:to>
    <xdr:sp macro="" textlink="'Pivot table'!$A$4">
      <xdr:nvSpPr>
        <xdr:cNvPr id="10" name="TextBox 9">
          <a:extLst>
            <a:ext uri="{FF2B5EF4-FFF2-40B4-BE49-F238E27FC236}">
              <a16:creationId xmlns:a16="http://schemas.microsoft.com/office/drawing/2014/main" id="{FCCF40BC-B50B-4C20-9D67-F85CB1B635D4}"/>
            </a:ext>
          </a:extLst>
        </xdr:cNvPr>
        <xdr:cNvSpPr txBox="1"/>
      </xdr:nvSpPr>
      <xdr:spPr>
        <a:xfrm>
          <a:off x="10358120" y="1087120"/>
          <a:ext cx="695960" cy="436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9C74925-33EC-4060-8208-4799CCD14466}" type="TxLink">
            <a:rPr lang="en-US" sz="1600" b="1" i="0" u="none" strike="noStrike">
              <a:solidFill>
                <a:srgbClr val="1B263B"/>
              </a:solidFill>
              <a:latin typeface="Aptos Narrow"/>
            </a:rPr>
            <a:pPr algn="ctr"/>
            <a:t> </a:t>
          </a:fld>
          <a:endParaRPr lang="en-US" sz="1600" b="1">
            <a:solidFill>
              <a:srgbClr val="1B263B"/>
            </a:solidFill>
          </a:endParaRPr>
        </a:p>
      </xdr:txBody>
    </xdr:sp>
    <xdr:clientData/>
  </xdr:twoCellAnchor>
  <xdr:twoCellAnchor editAs="oneCell">
    <xdr:from>
      <xdr:col>5</xdr:col>
      <xdr:colOff>9181</xdr:colOff>
      <xdr:row>0</xdr:row>
      <xdr:rowOff>64266</xdr:rowOff>
    </xdr:from>
    <xdr:to>
      <xdr:col>5</xdr:col>
      <xdr:colOff>514121</xdr:colOff>
      <xdr:row>3</xdr:row>
      <xdr:rowOff>18363</xdr:rowOff>
    </xdr:to>
    <xdr:pic>
      <xdr:nvPicPr>
        <xdr:cNvPr id="11" name="Picture 10">
          <a:extLst>
            <a:ext uri="{FF2B5EF4-FFF2-40B4-BE49-F238E27FC236}">
              <a16:creationId xmlns:a16="http://schemas.microsoft.com/office/drawing/2014/main" id="{AC8C980B-C520-4777-ACF5-7922F89AC9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57181" y="64266"/>
          <a:ext cx="504940" cy="502737"/>
        </a:xfrm>
        <a:prstGeom prst="rect">
          <a:avLst/>
        </a:prstGeom>
      </xdr:spPr>
    </xdr:pic>
    <xdr:clientData/>
  </xdr:twoCellAnchor>
  <xdr:twoCellAnchor editAs="oneCell">
    <xdr:from>
      <xdr:col>7</xdr:col>
      <xdr:colOff>258653</xdr:colOff>
      <xdr:row>6</xdr:row>
      <xdr:rowOff>12854</xdr:rowOff>
    </xdr:from>
    <xdr:to>
      <xdr:col>8</xdr:col>
      <xdr:colOff>16281</xdr:colOff>
      <xdr:row>8</xdr:row>
      <xdr:rowOff>12853</xdr:rowOff>
    </xdr:to>
    <xdr:pic>
      <xdr:nvPicPr>
        <xdr:cNvPr id="12" name="Picture 11">
          <a:extLst>
            <a:ext uri="{FF2B5EF4-FFF2-40B4-BE49-F238E27FC236}">
              <a16:creationId xmlns:a16="http://schemas.microsoft.com/office/drawing/2014/main" id="{6AF28825-15F1-4841-A8C6-2D2926F2075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525853" y="1110134"/>
          <a:ext cx="367228" cy="365759"/>
        </a:xfrm>
        <a:prstGeom prst="rect">
          <a:avLst/>
        </a:prstGeom>
      </xdr:spPr>
    </xdr:pic>
    <xdr:clientData/>
  </xdr:twoCellAnchor>
  <xdr:twoCellAnchor editAs="oneCell">
    <xdr:from>
      <xdr:col>15</xdr:col>
      <xdr:colOff>376409</xdr:colOff>
      <xdr:row>5</xdr:row>
      <xdr:rowOff>174435</xdr:rowOff>
    </xdr:from>
    <xdr:to>
      <xdr:col>16</xdr:col>
      <xdr:colOff>174434</xdr:colOff>
      <xdr:row>8</xdr:row>
      <xdr:rowOff>27543</xdr:rowOff>
    </xdr:to>
    <xdr:pic>
      <xdr:nvPicPr>
        <xdr:cNvPr id="13" name="Picture 12">
          <a:extLst>
            <a:ext uri="{FF2B5EF4-FFF2-40B4-BE49-F238E27FC236}">
              <a16:creationId xmlns:a16="http://schemas.microsoft.com/office/drawing/2014/main" id="{C563B10A-7C8F-44A1-AD5B-D597B41BA882}"/>
            </a:ext>
          </a:extLst>
        </xdr:cNvPr>
        <xdr:cNvPicPr>
          <a:picLocks noChangeAspect="1"/>
        </xdr:cNvPicPr>
      </xdr:nvPicPr>
      <xdr:blipFill>
        <a:blip xmlns:r="http://schemas.openxmlformats.org/officeDocument/2006/relationships" r:embed="rId3" cstate="print">
          <a:duotone>
            <a:schemeClr val="accent1">
              <a:shade val="45000"/>
              <a:satMod val="135000"/>
            </a:schemeClr>
            <a:prstClr val="white"/>
          </a:duotone>
          <a:extLst>
            <a:ext uri="{28A0092B-C50C-407E-A947-70E740481C1C}">
              <a14:useLocalDpi xmlns:a14="http://schemas.microsoft.com/office/drawing/2010/main" val="0"/>
            </a:ext>
          </a:extLst>
        </a:blip>
        <a:stretch>
          <a:fillRect/>
        </a:stretch>
      </xdr:blipFill>
      <xdr:spPr>
        <a:xfrm>
          <a:off x="9520409" y="1088835"/>
          <a:ext cx="407625" cy="401748"/>
        </a:xfrm>
        <a:prstGeom prst="rect">
          <a:avLst/>
        </a:prstGeom>
      </xdr:spPr>
    </xdr:pic>
    <xdr:clientData/>
  </xdr:twoCellAnchor>
  <xdr:twoCellAnchor editAs="oneCell">
    <xdr:from>
      <xdr:col>18</xdr:col>
      <xdr:colOff>302966</xdr:colOff>
      <xdr:row>6</xdr:row>
      <xdr:rowOff>36723</xdr:rowOff>
    </xdr:from>
    <xdr:to>
      <xdr:col>18</xdr:col>
      <xdr:colOff>596750</xdr:colOff>
      <xdr:row>7</xdr:row>
      <xdr:rowOff>146893</xdr:rowOff>
    </xdr:to>
    <xdr:pic>
      <xdr:nvPicPr>
        <xdr:cNvPr id="14" name="Picture 13">
          <a:extLst>
            <a:ext uri="{FF2B5EF4-FFF2-40B4-BE49-F238E27FC236}">
              <a16:creationId xmlns:a16="http://schemas.microsoft.com/office/drawing/2014/main" id="{8549FCEF-1301-454A-8251-A76093BDEA54}"/>
            </a:ext>
          </a:extLst>
        </xdr:cNvPr>
        <xdr:cNvPicPr>
          <a:picLocks noChangeAspect="1"/>
        </xdr:cNvPicPr>
      </xdr:nvPicPr>
      <xdr:blipFill>
        <a:blip xmlns:r="http://schemas.openxmlformats.org/officeDocument/2006/relationships" r:embed="rId4" cstate="print">
          <a:duotone>
            <a:schemeClr val="accent1">
              <a:shade val="45000"/>
              <a:satMod val="135000"/>
            </a:schemeClr>
            <a:prstClr val="white"/>
          </a:duotone>
          <a:extLst>
            <a:ext uri="{28A0092B-C50C-407E-A947-70E740481C1C}">
              <a14:useLocalDpi xmlns:a14="http://schemas.microsoft.com/office/drawing/2010/main" val="0"/>
            </a:ext>
          </a:extLst>
        </a:blip>
        <a:stretch>
          <a:fillRect/>
        </a:stretch>
      </xdr:blipFill>
      <xdr:spPr>
        <a:xfrm>
          <a:off x="11275766" y="1134003"/>
          <a:ext cx="293784" cy="293050"/>
        </a:xfrm>
        <a:prstGeom prst="rect">
          <a:avLst/>
        </a:prstGeom>
      </xdr:spPr>
    </xdr:pic>
    <xdr:clientData/>
  </xdr:twoCellAnchor>
  <xdr:twoCellAnchor editAs="oneCell">
    <xdr:from>
      <xdr:col>12</xdr:col>
      <xdr:colOff>312147</xdr:colOff>
      <xdr:row>5</xdr:row>
      <xdr:rowOff>36726</xdr:rowOff>
    </xdr:from>
    <xdr:to>
      <xdr:col>13</xdr:col>
      <xdr:colOff>110169</xdr:colOff>
      <xdr:row>7</xdr:row>
      <xdr:rowOff>73446</xdr:rowOff>
    </xdr:to>
    <xdr:pic>
      <xdr:nvPicPr>
        <xdr:cNvPr id="15" name="Picture 14">
          <a:extLst>
            <a:ext uri="{FF2B5EF4-FFF2-40B4-BE49-F238E27FC236}">
              <a16:creationId xmlns:a16="http://schemas.microsoft.com/office/drawing/2014/main" id="{EDBEA6D4-C3A2-4CC6-BA3B-AA31E269D59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627347" y="951126"/>
          <a:ext cx="407622" cy="402480"/>
        </a:xfrm>
        <a:prstGeom prst="rect">
          <a:avLst/>
        </a:prstGeom>
      </xdr:spPr>
    </xdr:pic>
    <xdr:clientData/>
  </xdr:twoCellAnchor>
  <xdr:twoCellAnchor editAs="oneCell">
    <xdr:from>
      <xdr:col>9</xdr:col>
      <xdr:colOff>449854</xdr:colOff>
      <xdr:row>5</xdr:row>
      <xdr:rowOff>9182</xdr:rowOff>
    </xdr:from>
    <xdr:to>
      <xdr:col>10</xdr:col>
      <xdr:colOff>403949</xdr:colOff>
      <xdr:row>8</xdr:row>
      <xdr:rowOff>18361</xdr:rowOff>
    </xdr:to>
    <xdr:pic>
      <xdr:nvPicPr>
        <xdr:cNvPr id="16" name="Picture 15">
          <a:extLst>
            <a:ext uri="{FF2B5EF4-FFF2-40B4-BE49-F238E27FC236}">
              <a16:creationId xmlns:a16="http://schemas.microsoft.com/office/drawing/2014/main" id="{9BCC6DA4-3D50-4521-A5CA-B7670CD125B4}"/>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5936254" y="923582"/>
          <a:ext cx="563695" cy="557819"/>
        </a:xfrm>
        <a:prstGeom prst="rect">
          <a:avLst/>
        </a:prstGeom>
      </xdr:spPr>
    </xdr:pic>
    <xdr:clientData/>
  </xdr:twoCellAnchor>
  <xdr:twoCellAnchor editAs="oneCell">
    <xdr:from>
      <xdr:col>20</xdr:col>
      <xdr:colOff>599440</xdr:colOff>
      <xdr:row>4</xdr:row>
      <xdr:rowOff>93981</xdr:rowOff>
    </xdr:from>
    <xdr:to>
      <xdr:col>23</xdr:col>
      <xdr:colOff>548640</xdr:colOff>
      <xdr:row>11</xdr:row>
      <xdr:rowOff>162560</xdr:rowOff>
    </xdr:to>
    <mc:AlternateContent xmlns:mc="http://schemas.openxmlformats.org/markup-compatibility/2006">
      <mc:Choice xmlns:a14="http://schemas.microsoft.com/office/drawing/2010/main" Requires="a14">
        <xdr:graphicFrame macro="">
          <xdr:nvGraphicFramePr>
            <xdr:cNvPr id="23" name="Department 2">
              <a:extLst>
                <a:ext uri="{FF2B5EF4-FFF2-40B4-BE49-F238E27FC236}">
                  <a16:creationId xmlns:a16="http://schemas.microsoft.com/office/drawing/2014/main" id="{1029B11D-A04B-4F5D-B343-0D75D6584D8E}"/>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dr:sp macro="" textlink="">
          <xdr:nvSpPr>
            <xdr:cNvPr id="0" name=""/>
            <xdr:cNvSpPr>
              <a:spLocks noTextEdit="1"/>
            </xdr:cNvSpPr>
          </xdr:nvSpPr>
          <xdr:spPr>
            <a:xfrm>
              <a:off x="12750251" y="835386"/>
              <a:ext cx="1771821" cy="13660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0</xdr:colOff>
      <xdr:row>22</xdr:row>
      <xdr:rowOff>50800</xdr:rowOff>
    </xdr:from>
    <xdr:to>
      <xdr:col>23</xdr:col>
      <xdr:colOff>579120</xdr:colOff>
      <xdr:row>33</xdr:row>
      <xdr:rowOff>20320</xdr:rowOff>
    </xdr:to>
    <mc:AlternateContent xmlns:mc="http://schemas.openxmlformats.org/markup-compatibility/2006">
      <mc:Choice xmlns:a14="http://schemas.microsoft.com/office/drawing/2010/main" Requires="a14">
        <xdr:graphicFrame macro="">
          <xdr:nvGraphicFramePr>
            <xdr:cNvPr id="24" name="JobRole 2">
              <a:extLst>
                <a:ext uri="{FF2B5EF4-FFF2-40B4-BE49-F238E27FC236}">
                  <a16:creationId xmlns:a16="http://schemas.microsoft.com/office/drawing/2014/main" id="{6FC23E30-913D-47B8-93F0-36E5497815DA}"/>
                </a:ext>
              </a:extLst>
            </xdr:cNvPr>
            <xdr:cNvGraphicFramePr/>
          </xdr:nvGraphicFramePr>
          <xdr:xfrm>
            <a:off x="0" y="0"/>
            <a:ext cx="0" cy="0"/>
          </xdr:xfrm>
          <a:graphic>
            <a:graphicData uri="http://schemas.microsoft.com/office/drawing/2010/slicer">
              <sle:slicer xmlns:sle="http://schemas.microsoft.com/office/drawing/2010/slicer" name="JobRole 2"/>
            </a:graphicData>
          </a:graphic>
        </xdr:graphicFrame>
      </mc:Choice>
      <mc:Fallback>
        <xdr:sp macro="" textlink="">
          <xdr:nvSpPr>
            <xdr:cNvPr id="0" name=""/>
            <xdr:cNvSpPr>
              <a:spLocks noTextEdit="1"/>
            </xdr:cNvSpPr>
          </xdr:nvSpPr>
          <xdr:spPr>
            <a:xfrm>
              <a:off x="12758351" y="4128530"/>
              <a:ext cx="1794201" cy="20083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528320</xdr:colOff>
      <xdr:row>12</xdr:row>
      <xdr:rowOff>71121</xdr:rowOff>
    </xdr:from>
    <xdr:to>
      <xdr:col>23</xdr:col>
      <xdr:colOff>568960</xdr:colOff>
      <xdr:row>21</xdr:row>
      <xdr:rowOff>142240</xdr:rowOff>
    </xdr:to>
    <mc:AlternateContent xmlns:mc="http://schemas.openxmlformats.org/markup-compatibility/2006">
      <mc:Choice xmlns:a14="http://schemas.microsoft.com/office/drawing/2010/main" Requires="a14">
        <xdr:graphicFrame macro="">
          <xdr:nvGraphicFramePr>
            <xdr:cNvPr id="25" name="EducationField 2">
              <a:extLst>
                <a:ext uri="{FF2B5EF4-FFF2-40B4-BE49-F238E27FC236}">
                  <a16:creationId xmlns:a16="http://schemas.microsoft.com/office/drawing/2014/main" id="{364FF6F2-4958-4E00-8757-1E32D142F431}"/>
                </a:ext>
              </a:extLst>
            </xdr:cNvPr>
            <xdr:cNvGraphicFramePr/>
          </xdr:nvGraphicFramePr>
          <xdr:xfrm>
            <a:off x="0" y="0"/>
            <a:ext cx="0" cy="0"/>
          </xdr:xfrm>
          <a:graphic>
            <a:graphicData uri="http://schemas.microsoft.com/office/drawing/2010/slicer">
              <sle:slicer xmlns:sle="http://schemas.microsoft.com/office/drawing/2010/slicer" name="EducationField 2"/>
            </a:graphicData>
          </a:graphic>
        </xdr:graphicFrame>
      </mc:Choice>
      <mc:Fallback>
        <xdr:sp macro="" textlink="">
          <xdr:nvSpPr>
            <xdr:cNvPr id="0" name=""/>
            <xdr:cNvSpPr>
              <a:spLocks noTextEdit="1"/>
            </xdr:cNvSpPr>
          </xdr:nvSpPr>
          <xdr:spPr>
            <a:xfrm>
              <a:off x="12679131" y="2295337"/>
              <a:ext cx="1863261" cy="17392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518160</xdr:colOff>
      <xdr:row>0</xdr:row>
      <xdr:rowOff>101600</xdr:rowOff>
    </xdr:from>
    <xdr:to>
      <xdr:col>14</xdr:col>
      <xdr:colOff>193040</xdr:colOff>
      <xdr:row>3</xdr:row>
      <xdr:rowOff>60960</xdr:rowOff>
    </xdr:to>
    <xdr:sp macro="" textlink="">
      <xdr:nvSpPr>
        <xdr:cNvPr id="26" name="Rectangle: Rounded Corners 25">
          <a:hlinkClick xmlns:r="http://schemas.openxmlformats.org/officeDocument/2006/relationships" r:id="rId7"/>
          <a:extLst>
            <a:ext uri="{FF2B5EF4-FFF2-40B4-BE49-F238E27FC236}">
              <a16:creationId xmlns:a16="http://schemas.microsoft.com/office/drawing/2014/main" id="{BEB7BEBB-2A7F-49B3-B1CA-E830568D0F2D}"/>
            </a:ext>
          </a:extLst>
        </xdr:cNvPr>
        <xdr:cNvSpPr/>
      </xdr:nvSpPr>
      <xdr:spPr>
        <a:xfrm>
          <a:off x="7223760" y="101600"/>
          <a:ext cx="1503680" cy="508000"/>
        </a:xfrm>
        <a:prstGeom prst="roundRect">
          <a:avLst/>
        </a:prstGeom>
        <a:solidFill>
          <a:srgbClr val="1A3C6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lvl="0" algn="r"/>
          <a:r>
            <a:rPr lang="en-US" sz="1200">
              <a:solidFill>
                <a:schemeClr val="bg1"/>
              </a:solidFill>
            </a:rPr>
            <a:t>Workforce</a:t>
          </a:r>
          <a:r>
            <a:rPr lang="en-US">
              <a:solidFill>
                <a:srgbClr val="1A3C6C"/>
              </a:solidFill>
            </a:rPr>
            <a:t> </a:t>
          </a:r>
          <a:r>
            <a:rPr lang="en-US">
              <a:solidFill>
                <a:schemeClr val="bg1"/>
              </a:solidFill>
            </a:rPr>
            <a:t>Overview</a:t>
          </a:r>
          <a:endParaRPr lang="en-US" sz="1100">
            <a:solidFill>
              <a:schemeClr val="bg1"/>
            </a:solidFill>
          </a:endParaRPr>
        </a:p>
      </xdr:txBody>
    </xdr:sp>
    <xdr:clientData/>
  </xdr:twoCellAnchor>
  <xdr:twoCellAnchor>
    <xdr:from>
      <xdr:col>14</xdr:col>
      <xdr:colOff>71120</xdr:colOff>
      <xdr:row>0</xdr:row>
      <xdr:rowOff>127000</xdr:rowOff>
    </xdr:from>
    <xdr:to>
      <xdr:col>16</xdr:col>
      <xdr:colOff>375920</xdr:colOff>
      <xdr:row>3</xdr:row>
      <xdr:rowOff>76200</xdr:rowOff>
    </xdr:to>
    <xdr:sp macro="" textlink="">
      <xdr:nvSpPr>
        <xdr:cNvPr id="27" name="Rectangle: Rounded Corners 26">
          <a:extLst>
            <a:ext uri="{FF2B5EF4-FFF2-40B4-BE49-F238E27FC236}">
              <a16:creationId xmlns:a16="http://schemas.microsoft.com/office/drawing/2014/main" id="{7149ABF1-D2F9-4377-8C81-BF2AF4EA52F0}"/>
            </a:ext>
          </a:extLst>
        </xdr:cNvPr>
        <xdr:cNvSpPr/>
      </xdr:nvSpPr>
      <xdr:spPr>
        <a:xfrm>
          <a:off x="8605520" y="127000"/>
          <a:ext cx="1524000" cy="4978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200">
              <a:effectLst>
                <a:glow rad="228600">
                  <a:schemeClr val="accent1">
                    <a:satMod val="175000"/>
                    <a:alpha val="40000"/>
                  </a:schemeClr>
                </a:glow>
              </a:effectLst>
            </a:rPr>
            <a:t>Attrition Analysis</a:t>
          </a:r>
        </a:p>
      </xdr:txBody>
    </xdr:sp>
    <xdr:clientData/>
  </xdr:twoCellAnchor>
  <xdr:twoCellAnchor>
    <xdr:from>
      <xdr:col>5</xdr:col>
      <xdr:colOff>558800</xdr:colOff>
      <xdr:row>6</xdr:row>
      <xdr:rowOff>50800</xdr:rowOff>
    </xdr:from>
    <xdr:to>
      <xdr:col>7</xdr:col>
      <xdr:colOff>91440</xdr:colOff>
      <xdr:row>8</xdr:row>
      <xdr:rowOff>40640</xdr:rowOff>
    </xdr:to>
    <xdr:sp macro="" textlink="'Pivot table'!$B$4">
      <xdr:nvSpPr>
        <xdr:cNvPr id="28" name="Rectangle: Rounded Corners 27">
          <a:extLst>
            <a:ext uri="{FF2B5EF4-FFF2-40B4-BE49-F238E27FC236}">
              <a16:creationId xmlns:a16="http://schemas.microsoft.com/office/drawing/2014/main" id="{431491A3-F279-41D6-9246-6E09391F7338}"/>
            </a:ext>
          </a:extLst>
        </xdr:cNvPr>
        <xdr:cNvSpPr/>
      </xdr:nvSpPr>
      <xdr:spPr>
        <a:xfrm>
          <a:off x="3606800" y="1148080"/>
          <a:ext cx="751840" cy="3556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85F7100-C76C-4655-8891-64EA1AA0CCBD}" type="TxLink">
            <a:rPr lang="en-US" sz="1600" b="1" i="0" u="none" strike="noStrike">
              <a:solidFill>
                <a:srgbClr val="1B263B"/>
              </a:solidFill>
              <a:latin typeface="Aptos Narrow"/>
            </a:rPr>
            <a:pPr algn="l"/>
            <a:t> </a:t>
          </a:fld>
          <a:endParaRPr lang="en-US" sz="1600" b="1">
            <a:solidFill>
              <a:srgbClr val="1B263B"/>
            </a:solidFill>
          </a:endParaRPr>
        </a:p>
      </xdr:txBody>
    </xdr:sp>
    <xdr:clientData/>
  </xdr:twoCellAnchor>
  <xdr:twoCellAnchor>
    <xdr:from>
      <xdr:col>5</xdr:col>
      <xdr:colOff>599440</xdr:colOff>
      <xdr:row>6</xdr:row>
      <xdr:rowOff>71120</xdr:rowOff>
    </xdr:from>
    <xdr:to>
      <xdr:col>7</xdr:col>
      <xdr:colOff>132080</xdr:colOff>
      <xdr:row>8</xdr:row>
      <xdr:rowOff>0</xdr:rowOff>
    </xdr:to>
    <xdr:sp macro="" textlink="'Pivot table'!$A$3">
      <xdr:nvSpPr>
        <xdr:cNvPr id="29" name="Rectangle: Rounded Corners 28">
          <a:extLst>
            <a:ext uri="{FF2B5EF4-FFF2-40B4-BE49-F238E27FC236}">
              <a16:creationId xmlns:a16="http://schemas.microsoft.com/office/drawing/2014/main" id="{346D0525-E38A-405C-A99A-8D0CE23CA83C}"/>
            </a:ext>
          </a:extLst>
        </xdr:cNvPr>
        <xdr:cNvSpPr/>
      </xdr:nvSpPr>
      <xdr:spPr>
        <a:xfrm>
          <a:off x="3647440" y="1168400"/>
          <a:ext cx="751840" cy="2946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32CD45A-4813-4AF5-8A0E-572F66973189}" type="TxLink">
            <a:rPr lang="en-US" sz="1600" b="1" i="0" u="none" strike="noStrike">
              <a:solidFill>
                <a:srgbClr val="1B263B"/>
              </a:solidFill>
              <a:latin typeface="Aptos Narrow"/>
            </a:rPr>
            <a:t>1470</a:t>
          </a:fld>
          <a:endParaRPr lang="en-US" sz="1600" b="1">
            <a:solidFill>
              <a:srgbClr val="1B263B"/>
            </a:solidFill>
          </a:endParaRPr>
        </a:p>
      </xdr:txBody>
    </xdr:sp>
    <xdr:clientData/>
  </xdr:twoCellAnchor>
  <xdr:twoCellAnchor>
    <xdr:from>
      <xdr:col>17</xdr:col>
      <xdr:colOff>172720</xdr:colOff>
      <xdr:row>6</xdr:row>
      <xdr:rowOff>10160</xdr:rowOff>
    </xdr:from>
    <xdr:to>
      <xdr:col>18</xdr:col>
      <xdr:colOff>274320</xdr:colOff>
      <xdr:row>8</xdr:row>
      <xdr:rowOff>142240</xdr:rowOff>
    </xdr:to>
    <xdr:sp macro="" textlink="'Pivot table'!$B$3">
      <xdr:nvSpPr>
        <xdr:cNvPr id="30" name="Rectangle: Rounded Corners 29">
          <a:extLst>
            <a:ext uri="{FF2B5EF4-FFF2-40B4-BE49-F238E27FC236}">
              <a16:creationId xmlns:a16="http://schemas.microsoft.com/office/drawing/2014/main" id="{967E01CA-B9C2-46E0-9EA1-24C0C3DD869A}"/>
            </a:ext>
          </a:extLst>
        </xdr:cNvPr>
        <xdr:cNvSpPr/>
      </xdr:nvSpPr>
      <xdr:spPr>
        <a:xfrm>
          <a:off x="10535920" y="1107440"/>
          <a:ext cx="711200" cy="4978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F5687E1-0248-4C0E-991C-91DF45CD2258}" type="TxLink">
            <a:rPr lang="en-US" sz="1600" b="1" i="0" u="none" strike="noStrike">
              <a:solidFill>
                <a:srgbClr val="1B263B"/>
              </a:solidFill>
              <a:latin typeface="Aptos Narrow"/>
            </a:rPr>
            <a:t>37</a:t>
          </a:fld>
          <a:endParaRPr lang="en-US" sz="1600" b="1">
            <a:solidFill>
              <a:srgbClr val="1B263B"/>
            </a:solidFill>
          </a:endParaRPr>
        </a:p>
      </xdr:txBody>
    </xdr:sp>
    <xdr:clientData/>
  </xdr:twoCellAnchor>
  <xdr:twoCellAnchor>
    <xdr:from>
      <xdr:col>8</xdr:col>
      <xdr:colOff>416560</xdr:colOff>
      <xdr:row>6</xdr:row>
      <xdr:rowOff>60960</xdr:rowOff>
    </xdr:from>
    <xdr:to>
      <xdr:col>9</xdr:col>
      <xdr:colOff>436880</xdr:colOff>
      <xdr:row>7</xdr:row>
      <xdr:rowOff>152400</xdr:rowOff>
    </xdr:to>
    <xdr:sp macro="" textlink="'Pivot table'!$H$3">
      <xdr:nvSpPr>
        <xdr:cNvPr id="31" name="Rectangle: Rounded Corners 30">
          <a:extLst>
            <a:ext uri="{FF2B5EF4-FFF2-40B4-BE49-F238E27FC236}">
              <a16:creationId xmlns:a16="http://schemas.microsoft.com/office/drawing/2014/main" id="{09E21FBB-0677-4990-A8DD-0D508F0BE1F8}"/>
            </a:ext>
          </a:extLst>
        </xdr:cNvPr>
        <xdr:cNvSpPr/>
      </xdr:nvSpPr>
      <xdr:spPr>
        <a:xfrm>
          <a:off x="5293360" y="1158240"/>
          <a:ext cx="629920" cy="2743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D93B657-52CE-48A1-A34F-06DDD1553DEF}" type="TxLink">
            <a:rPr lang="en-US" sz="1600" b="1" i="0" u="none" strike="noStrike">
              <a:solidFill>
                <a:srgbClr val="1B263B"/>
              </a:solidFill>
              <a:latin typeface="Aptos Narrow"/>
            </a:rPr>
            <a:t>237</a:t>
          </a:fld>
          <a:endParaRPr lang="en-US" sz="1600" b="1">
            <a:solidFill>
              <a:srgbClr val="1B263B"/>
            </a:solidFill>
          </a:endParaRPr>
        </a:p>
      </xdr:txBody>
    </xdr:sp>
    <xdr:clientData/>
  </xdr:twoCellAnchor>
  <xdr:twoCellAnchor>
    <xdr:from>
      <xdr:col>11</xdr:col>
      <xdr:colOff>251705</xdr:colOff>
      <xdr:row>6</xdr:row>
      <xdr:rowOff>63898</xdr:rowOff>
    </xdr:from>
    <xdr:to>
      <xdr:col>12</xdr:col>
      <xdr:colOff>272025</xdr:colOff>
      <xdr:row>7</xdr:row>
      <xdr:rowOff>155338</xdr:rowOff>
    </xdr:to>
    <xdr:sp macro="" textlink="'Pivot table'!$H$2">
      <xdr:nvSpPr>
        <xdr:cNvPr id="32" name="Rectangle: Rounded Corners 31">
          <a:extLst>
            <a:ext uri="{FF2B5EF4-FFF2-40B4-BE49-F238E27FC236}">
              <a16:creationId xmlns:a16="http://schemas.microsoft.com/office/drawing/2014/main" id="{B842395D-D76A-4AAF-A33D-C066DDF6D1C4}"/>
            </a:ext>
          </a:extLst>
        </xdr:cNvPr>
        <xdr:cNvSpPr/>
      </xdr:nvSpPr>
      <xdr:spPr>
        <a:xfrm>
          <a:off x="6957305" y="1161178"/>
          <a:ext cx="629920" cy="2743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E086610-F109-45F8-9F74-B70125F46473}" type="TxLink">
            <a:rPr lang="en-US" sz="1600" b="1" i="0" u="none" strike="noStrike">
              <a:solidFill>
                <a:srgbClr val="1B263B"/>
              </a:solidFill>
              <a:latin typeface="Aptos Narrow"/>
            </a:rPr>
            <a:t>1233</a:t>
          </a:fld>
          <a:endParaRPr lang="en-US" sz="1600" b="1">
            <a:solidFill>
              <a:srgbClr val="1B263B"/>
            </a:solidFill>
          </a:endParaRPr>
        </a:p>
      </xdr:txBody>
    </xdr:sp>
    <xdr:clientData/>
  </xdr:twoCellAnchor>
  <xdr:twoCellAnchor>
    <xdr:from>
      <xdr:col>14</xdr:col>
      <xdr:colOff>172720</xdr:colOff>
      <xdr:row>6</xdr:row>
      <xdr:rowOff>43578</xdr:rowOff>
    </xdr:from>
    <xdr:to>
      <xdr:col>15</xdr:col>
      <xdr:colOff>467360</xdr:colOff>
      <xdr:row>8</xdr:row>
      <xdr:rowOff>10160</xdr:rowOff>
    </xdr:to>
    <xdr:sp macro="" textlink="'Pivot table'!$I$3">
      <xdr:nvSpPr>
        <xdr:cNvPr id="33" name="Rectangle: Rounded Corners 32">
          <a:extLst>
            <a:ext uri="{FF2B5EF4-FFF2-40B4-BE49-F238E27FC236}">
              <a16:creationId xmlns:a16="http://schemas.microsoft.com/office/drawing/2014/main" id="{10A686BE-946A-47F7-9E09-335A746515FE}"/>
            </a:ext>
          </a:extLst>
        </xdr:cNvPr>
        <xdr:cNvSpPr/>
      </xdr:nvSpPr>
      <xdr:spPr>
        <a:xfrm>
          <a:off x="8707120" y="1140858"/>
          <a:ext cx="904240" cy="332342"/>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E9DBEB9-2C18-4883-9099-1FE8C561DD2F}" type="TxLink">
            <a:rPr lang="en-US" sz="1600" b="1" i="0" u="none" strike="noStrike">
              <a:solidFill>
                <a:srgbClr val="1B263B"/>
              </a:solidFill>
              <a:latin typeface="Aptos Narrow"/>
            </a:rPr>
            <a:t>16.12%</a:t>
          </a:fld>
          <a:endParaRPr lang="en-US" sz="1600" b="1">
            <a:solidFill>
              <a:srgbClr val="1B263B"/>
            </a:solidFill>
          </a:endParaRPr>
        </a:p>
      </xdr:txBody>
    </xdr:sp>
    <xdr:clientData/>
  </xdr:twoCellAnchor>
  <xdr:twoCellAnchor>
    <xdr:from>
      <xdr:col>4</xdr:col>
      <xdr:colOff>142240</xdr:colOff>
      <xdr:row>8</xdr:row>
      <xdr:rowOff>142240</xdr:rowOff>
    </xdr:from>
    <xdr:to>
      <xdr:col>10</xdr:col>
      <xdr:colOff>507999</xdr:colOff>
      <xdr:row>21</xdr:row>
      <xdr:rowOff>10160</xdr:rowOff>
    </xdr:to>
    <xdr:graphicFrame macro="">
      <xdr:nvGraphicFramePr>
        <xdr:cNvPr id="34" name="Chart 33">
          <a:extLst>
            <a:ext uri="{FF2B5EF4-FFF2-40B4-BE49-F238E27FC236}">
              <a16:creationId xmlns:a16="http://schemas.microsoft.com/office/drawing/2014/main" id="{7B7E8C5C-DBAF-48A0-ABA9-13D826CD35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579121</xdr:colOff>
      <xdr:row>8</xdr:row>
      <xdr:rowOff>152400</xdr:rowOff>
    </xdr:from>
    <xdr:to>
      <xdr:col>16</xdr:col>
      <xdr:colOff>81280</xdr:colOff>
      <xdr:row>20</xdr:row>
      <xdr:rowOff>132080</xdr:rowOff>
    </xdr:to>
    <xdr:graphicFrame macro="">
      <xdr:nvGraphicFramePr>
        <xdr:cNvPr id="35" name="Chart 34">
          <a:extLst>
            <a:ext uri="{FF2B5EF4-FFF2-40B4-BE49-F238E27FC236}">
              <a16:creationId xmlns:a16="http://schemas.microsoft.com/office/drawing/2014/main" id="{DF79CEB6-03B3-44B4-B9AE-F240FDFCE1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162561</xdr:colOff>
      <xdr:row>21</xdr:row>
      <xdr:rowOff>43180</xdr:rowOff>
    </xdr:from>
    <xdr:to>
      <xdr:col>11</xdr:col>
      <xdr:colOff>91440</xdr:colOff>
      <xdr:row>33</xdr:row>
      <xdr:rowOff>71120</xdr:rowOff>
    </xdr:to>
    <xdr:graphicFrame macro="">
      <xdr:nvGraphicFramePr>
        <xdr:cNvPr id="36" name="Chart 35">
          <a:extLst>
            <a:ext uri="{FF2B5EF4-FFF2-40B4-BE49-F238E27FC236}">
              <a16:creationId xmlns:a16="http://schemas.microsoft.com/office/drawing/2014/main" id="{34533DD4-9464-4A50-B495-2DB75DB8A9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172721</xdr:colOff>
      <xdr:row>21</xdr:row>
      <xdr:rowOff>53340</xdr:rowOff>
    </xdr:from>
    <xdr:to>
      <xdr:col>16</xdr:col>
      <xdr:colOff>182881</xdr:colOff>
      <xdr:row>33</xdr:row>
      <xdr:rowOff>71120</xdr:rowOff>
    </xdr:to>
    <xdr:graphicFrame macro="">
      <xdr:nvGraphicFramePr>
        <xdr:cNvPr id="37" name="Chart 36">
          <a:extLst>
            <a:ext uri="{FF2B5EF4-FFF2-40B4-BE49-F238E27FC236}">
              <a16:creationId xmlns:a16="http://schemas.microsoft.com/office/drawing/2014/main" id="{AFB67F26-0114-47EC-A4F2-73BB5F5970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172720</xdr:colOff>
      <xdr:row>10</xdr:row>
      <xdr:rowOff>101600</xdr:rowOff>
    </xdr:from>
    <xdr:to>
      <xdr:col>20</xdr:col>
      <xdr:colOff>467360</xdr:colOff>
      <xdr:row>33</xdr:row>
      <xdr:rowOff>40640</xdr:rowOff>
    </xdr:to>
    <xdr:graphicFrame macro="">
      <xdr:nvGraphicFramePr>
        <xdr:cNvPr id="38" name="Chart 37">
          <a:extLst>
            <a:ext uri="{FF2B5EF4-FFF2-40B4-BE49-F238E27FC236}">
              <a16:creationId xmlns:a16="http://schemas.microsoft.com/office/drawing/2014/main" id="{CA15900C-10CB-47D1-A492-F1EAFA0D2B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24.734613541666" createdVersion="8" refreshedVersion="8" minRefreshableVersion="3" recordCount="1470" xr:uid="{E7F3B6AD-B925-45B0-92C8-E1B227714AC9}">
  <cacheSource type="worksheet">
    <worksheetSource name="WA_Fn_UseC__HR_Employee_Attrition"/>
  </cacheSource>
  <cacheFields count="35">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fieldGroup base="0">
        <rangePr startNum="18" endNum="60" groupInterval="10"/>
        <groupItems count="7">
          <s v="&lt;18"/>
          <s v="18-27"/>
          <s v="28-37"/>
          <s v="38-47"/>
          <s v="48-57"/>
          <s v="58-67"/>
          <s v="&gt;68"/>
        </groupItems>
      </fieldGroup>
    </cacheField>
    <cacheField name="Attrition" numFmtId="0">
      <sharedItems count="2">
        <s v="Yes"/>
        <s v="No"/>
      </sharedItems>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ount="29">
        <n v="1"/>
        <n v="8"/>
        <n v="2"/>
        <n v="3"/>
        <n v="24"/>
        <n v="23"/>
        <n v="27"/>
        <n v="16"/>
        <n v="15"/>
        <n v="26"/>
        <n v="19"/>
        <n v="21"/>
        <n v="5"/>
        <n v="11"/>
        <n v="9"/>
        <n v="7"/>
        <n v="6"/>
        <n v="10"/>
        <n v="4"/>
        <n v="25"/>
        <n v="12"/>
        <n v="18"/>
        <n v="29"/>
        <n v="22"/>
        <n v="14"/>
        <n v="20"/>
        <n v="28"/>
        <n v="17"/>
        <n v="13"/>
      </sharedItems>
      <fieldGroup base="5">
        <rangePr startNum="1" endNum="29" groupInterval="5"/>
        <groupItems count="8">
          <s v="&lt;1"/>
          <s v="1-5"/>
          <s v="6-10"/>
          <s v="11-15"/>
          <s v="16-20"/>
          <s v="21-25"/>
          <s v="26-30"/>
          <s v="&gt;31"/>
        </groupItems>
      </fieldGroup>
    </cacheField>
    <cacheField name="Education" numFmtId="0">
      <sharedItems containsSemiMixedTypes="0" containsString="0" containsNumber="1" containsInteger="1" minValue="1" maxValue="5"/>
    </cacheField>
    <cacheField name="EducationField" numFmtId="0">
      <sharedItems count="6">
        <s v="Life Sciences"/>
        <s v="Other"/>
        <s v="Medical"/>
        <s v="Marketing"/>
        <s v="Technical Degree"/>
        <s v="Human Resources"/>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ount="71">
        <n v="94"/>
        <n v="61"/>
        <n v="92"/>
        <n v="56"/>
        <n v="40"/>
        <n v="79"/>
        <n v="81"/>
        <n v="67"/>
        <n v="44"/>
        <n v="84"/>
        <n v="49"/>
        <n v="31"/>
        <n v="93"/>
        <n v="50"/>
        <n v="51"/>
        <n v="80"/>
        <n v="96"/>
        <n v="78"/>
        <n v="45"/>
        <n v="82"/>
        <n v="53"/>
        <n v="83"/>
        <n v="58"/>
        <n v="72"/>
        <n v="48"/>
        <n v="42"/>
        <n v="41"/>
        <n v="86"/>
        <n v="97"/>
        <n v="75"/>
        <n v="33"/>
        <n v="37"/>
        <n v="73"/>
        <n v="98"/>
        <n v="36"/>
        <n v="47"/>
        <n v="71"/>
        <n v="30"/>
        <n v="43"/>
        <n v="99"/>
        <n v="59"/>
        <n v="95"/>
        <n v="57"/>
        <n v="76"/>
        <n v="87"/>
        <n v="66"/>
        <n v="55"/>
        <n v="32"/>
        <n v="52"/>
        <n v="70"/>
        <n v="62"/>
        <n v="64"/>
        <n v="63"/>
        <n v="60"/>
        <n v="100"/>
        <n v="46"/>
        <n v="39"/>
        <n v="77"/>
        <n v="35"/>
        <n v="91"/>
        <n v="54"/>
        <n v="34"/>
        <n v="90"/>
        <n v="65"/>
        <n v="88"/>
        <n v="85"/>
        <n v="89"/>
        <n v="68"/>
        <n v="69"/>
        <n v="74"/>
        <n v="38"/>
      </sharedItems>
      <fieldGroup base="12">
        <rangePr startNum="30" endNum="100" groupInterval="20"/>
        <groupItems count="6">
          <s v="&lt;30"/>
          <s v="30-49"/>
          <s v="50-69"/>
          <s v="70-89"/>
          <s v="90-109"/>
          <s v="&gt;110"/>
        </groupItems>
      </fieldGroup>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ount="3">
        <s v="Single"/>
        <s v="Married"/>
        <s v="Divorced"/>
      </sharedItems>
    </cacheField>
    <cacheField name="MonthlyIncome" numFmtId="0">
      <sharedItems containsSemiMixedTypes="0" containsString="0" containsNumber="1" containsInteger="1" minValue="1009" maxValue="19999" count="1349">
        <n v="5993"/>
        <n v="5130"/>
        <n v="2090"/>
        <n v="2909"/>
        <n v="3468"/>
        <n v="3068"/>
        <n v="2670"/>
        <n v="2693"/>
        <n v="9526"/>
        <n v="5237"/>
        <n v="2426"/>
        <n v="4193"/>
        <n v="2911"/>
        <n v="2661"/>
        <n v="2028"/>
        <n v="9980"/>
        <n v="3298"/>
        <n v="2935"/>
        <n v="15427"/>
        <n v="3944"/>
        <n v="4011"/>
        <n v="3407"/>
        <n v="11994"/>
        <n v="1232"/>
        <n v="2960"/>
        <n v="19094"/>
        <n v="3919"/>
        <n v="6825"/>
        <n v="10248"/>
        <n v="18947"/>
        <n v="2496"/>
        <n v="6465"/>
        <n v="2206"/>
        <n v="2086"/>
        <n v="2293"/>
        <n v="2645"/>
        <n v="2683"/>
        <n v="2014"/>
        <n v="3419"/>
        <n v="5376"/>
        <n v="1951"/>
        <n v="2341"/>
        <n v="8726"/>
        <n v="19545"/>
        <n v="4568"/>
        <n v="3022"/>
        <n v="5772"/>
        <n v="2269"/>
        <n v="5381"/>
        <n v="3441"/>
        <n v="5454"/>
        <n v="9884"/>
        <n v="4157"/>
        <n v="13458"/>
        <n v="9069"/>
        <n v="4014"/>
        <n v="5915"/>
        <n v="6162"/>
        <n v="2406"/>
        <n v="18740"/>
        <n v="7637"/>
        <n v="10096"/>
        <n v="14756"/>
        <n v="6499"/>
        <n v="9724"/>
        <n v="2194"/>
        <n v="3388"/>
        <n v="5473"/>
        <n v="2703"/>
        <n v="2501"/>
        <n v="6220"/>
        <n v="3038"/>
        <n v="4424"/>
        <n v="4312"/>
        <n v="13245"/>
        <n v="13664"/>
        <n v="5021"/>
        <n v="5126"/>
        <n v="2859"/>
        <n v="10239"/>
        <n v="5329"/>
        <n v="4325"/>
        <n v="7260"/>
        <n v="2322"/>
        <n v="2075"/>
        <n v="4152"/>
        <n v="9619"/>
        <n v="13503"/>
        <n v="5441"/>
        <n v="5209"/>
        <n v="10673"/>
        <n v="5010"/>
        <n v="13549"/>
        <n v="4999"/>
        <n v="4221"/>
        <n v="13872"/>
        <n v="2042"/>
        <n v="2073"/>
        <n v="2956"/>
        <n v="2926"/>
        <n v="4809"/>
        <n v="5163"/>
        <n v="18844"/>
        <n v="18172"/>
        <n v="5744"/>
        <n v="2889"/>
        <n v="2871"/>
        <n v="7484"/>
        <n v="6074"/>
        <n v="17328"/>
        <n v="2774"/>
        <n v="4505"/>
        <n v="7428"/>
        <n v="11631"/>
        <n v="9738"/>
        <n v="2835"/>
        <n v="16959"/>
        <n v="2613"/>
        <n v="6146"/>
        <n v="4963"/>
        <n v="19537"/>
        <n v="6172"/>
        <n v="2368"/>
        <n v="10312"/>
        <n v="1675"/>
        <n v="2523"/>
        <n v="6567"/>
        <n v="4739"/>
        <n v="9208"/>
        <n v="4559"/>
        <n v="8189"/>
        <n v="2942"/>
        <n v="4941"/>
        <n v="10650"/>
        <n v="5902"/>
        <n v="8639"/>
        <n v="6347"/>
        <n v="4200"/>
        <n v="3452"/>
        <n v="4317"/>
        <n v="2632"/>
        <n v="4668"/>
        <n v="3204"/>
        <n v="2720"/>
        <n v="17181"/>
        <n v="2238"/>
        <n v="1483"/>
        <n v="5605"/>
        <n v="7295"/>
        <n v="2306"/>
        <n v="2348"/>
        <n v="8998"/>
        <n v="4319"/>
        <n v="6132"/>
        <n v="3346"/>
        <n v="10855"/>
        <n v="2231"/>
        <n v="2323"/>
        <n v="2024"/>
        <n v="2713"/>
        <n v="9439"/>
        <n v="2566"/>
        <n v="19926"/>
        <n v="2451"/>
        <n v="9419"/>
        <n v="8686"/>
        <n v="3058"/>
        <n v="2325"/>
        <n v="2088"/>
        <n v="3072"/>
        <n v="5006"/>
        <n v="4257"/>
        <n v="2500"/>
        <n v="1102"/>
        <n v="10453"/>
        <n v="2288"/>
        <n v="3929"/>
        <n v="2311"/>
        <n v="3140"/>
        <n v="3690"/>
        <n v="4450"/>
        <n v="2756"/>
        <n v="19033"/>
        <n v="18722"/>
        <n v="9547"/>
        <n v="13734"/>
        <n v="19999"/>
        <n v="2279"/>
        <n v="5916"/>
        <n v="2089"/>
        <n v="16792"/>
        <n v="3564"/>
        <n v="4425"/>
        <n v="5265"/>
        <n v="6553"/>
        <n v="6261"/>
        <n v="4298"/>
        <n v="6804"/>
        <n v="3815"/>
        <n v="2741"/>
        <n v="6673"/>
        <n v="7639"/>
        <n v="2328"/>
        <n v="2153"/>
        <n v="4876"/>
        <n v="9396"/>
        <n v="10400"/>
        <n v="8474"/>
        <n v="9981"/>
        <n v="12490"/>
        <n v="2657"/>
        <n v="13591"/>
        <n v="6696"/>
        <n v="2058"/>
        <n v="8865"/>
        <n v="5940"/>
        <n v="5914"/>
        <n v="2622"/>
        <n v="12185"/>
        <n v="10609"/>
        <n v="4345"/>
        <n v="2177"/>
        <n v="2793"/>
        <n v="7918"/>
        <n v="8789"/>
        <n v="2389"/>
        <n v="3212"/>
        <n v="19232"/>
        <n v="2267"/>
        <n v="19517"/>
        <n v="2436"/>
        <n v="16064"/>
        <n v="2707"/>
        <n v="19068"/>
        <n v="3931"/>
        <n v="3730"/>
        <n v="2232"/>
        <n v="4465"/>
        <n v="3319"/>
        <n v="19202"/>
        <n v="13675"/>
        <n v="5957"/>
        <n v="3920"/>
        <n v="6434"/>
        <n v="10048"/>
        <n v="10938"/>
        <n v="2340"/>
        <n v="6545"/>
        <n v="6931"/>
        <n v="4898"/>
        <n v="2593"/>
        <n v="19436"/>
        <n v="2723"/>
        <n v="3479"/>
        <n v="2794"/>
        <n v="5249"/>
        <n v="2176"/>
        <n v="16872"/>
        <n v="3485"/>
        <n v="6644"/>
        <n v="5582"/>
        <n v="4000"/>
        <n v="13496"/>
        <n v="3210"/>
        <n v="19045"/>
        <n v="11849"/>
        <n v="2070"/>
        <n v="6502"/>
        <n v="3230"/>
        <n v="13603"/>
        <n v="11996"/>
        <n v="6397"/>
        <n v="19144"/>
        <n v="17584"/>
        <n v="4907"/>
        <n v="4554"/>
        <n v="5415"/>
        <n v="4741"/>
        <n v="2115"/>
        <n v="3161"/>
        <n v="5745"/>
        <n v="2373"/>
        <n v="3310"/>
        <n v="18665"/>
        <n v="4485"/>
        <n v="2789"/>
        <n v="5828"/>
        <n v="2326"/>
        <n v="13525"/>
        <n v="1420"/>
        <n v="8020"/>
        <n v="3688"/>
        <n v="5482"/>
        <n v="16015"/>
        <n v="1200"/>
        <n v="5661"/>
        <n v="6929"/>
        <n v="9613"/>
        <n v="5674"/>
        <n v="5484"/>
        <n v="12061"/>
        <n v="5660"/>
        <n v="4821"/>
        <n v="6410"/>
        <n v="5210"/>
        <n v="2695"/>
        <n v="11878"/>
        <n v="17068"/>
        <n v="2455"/>
        <n v="13964"/>
        <n v="2478"/>
        <n v="5228"/>
        <n v="4478"/>
        <n v="7547"/>
        <n v="5055"/>
        <n v="3464"/>
        <n v="5775"/>
        <n v="8943"/>
        <n v="19272"/>
        <n v="5238"/>
        <n v="4682"/>
        <n v="18300"/>
        <n v="5257"/>
        <n v="6349"/>
        <n v="4869"/>
        <n v="9985"/>
        <n v="3697"/>
        <n v="7457"/>
        <n v="2119"/>
        <n v="3983"/>
        <n v="6118"/>
        <n v="6214"/>
        <n v="11510"/>
        <n v="7143"/>
        <n v="8268"/>
        <n v="8095"/>
        <n v="2904"/>
        <n v="6032"/>
        <n v="2976"/>
        <n v="15992"/>
        <n v="4649"/>
        <n v="2696"/>
        <n v="2370"/>
        <n v="12504"/>
        <n v="5974"/>
        <n v="4736"/>
        <n v="5296"/>
        <n v="6781"/>
        <n v="2174"/>
        <n v="6653"/>
        <n v="9699"/>
        <n v="6755"/>
        <n v="2213"/>
        <n v="2610"/>
        <n v="2851"/>
        <n v="5258"/>
        <n v="9355"/>
        <n v="10496"/>
        <n v="6380"/>
        <n v="2716"/>
        <n v="2201"/>
        <n v="6540"/>
        <n v="3816"/>
        <n v="5253"/>
        <n v="10965"/>
        <n v="4936"/>
        <n v="2543"/>
        <n v="5304"/>
        <n v="16659"/>
        <n v="4260"/>
        <n v="2476"/>
        <n v="3102"/>
        <n v="2244"/>
        <n v="7596"/>
        <n v="2285"/>
        <n v="3034"/>
        <n v="5715"/>
        <n v="2576"/>
        <n v="4197"/>
        <n v="14336"/>
        <n v="3448"/>
        <n v="19406"/>
        <n v="6538"/>
        <n v="4306"/>
        <n v="2258"/>
        <n v="4522"/>
        <n v="4487"/>
        <n v="4449"/>
        <n v="2218"/>
        <n v="19197"/>
        <n v="13212"/>
        <n v="6577"/>
        <n v="8392"/>
        <n v="4558"/>
        <n v="4031"/>
        <n v="7969"/>
        <n v="2654"/>
        <n v="16555"/>
        <n v="4556"/>
        <n v="6091"/>
        <n v="19566"/>
        <n v="4810"/>
        <n v="4523"/>
        <n v="3202"/>
        <n v="2351"/>
        <n v="1702"/>
        <n v="18041"/>
        <n v="2886"/>
        <n v="2097"/>
        <n v="11935"/>
        <n v="2546"/>
        <n v="2564"/>
        <n v="8412"/>
        <n v="14118"/>
        <n v="17046"/>
        <n v="10266"/>
        <n v="5070"/>
        <n v="17861"/>
        <n v="4230"/>
        <n v="3780"/>
        <n v="2768"/>
        <n v="9071"/>
        <n v="10648"/>
        <n v="13610"/>
        <n v="3408"/>
        <n v="2983"/>
        <n v="7632"/>
        <n v="9824"/>
        <n v="9950"/>
        <n v="2093"/>
        <n v="3894"/>
        <n v="4051"/>
        <n v="16835"/>
        <n v="6230"/>
        <n v="4717"/>
        <n v="13237"/>
        <n v="3755"/>
        <n v="6582"/>
        <n v="7406"/>
        <n v="4805"/>
        <n v="4262"/>
        <n v="16184"/>
        <n v="11557"/>
        <n v="1878"/>
        <n v="10932"/>
        <n v="6811"/>
        <n v="4859"/>
        <n v="5337"/>
        <n v="7491"/>
        <n v="10527"/>
        <n v="16595"/>
        <n v="8834"/>
        <n v="5577"/>
        <n v="4707"/>
        <n v="2400"/>
        <n v="6447"/>
        <n v="19502"/>
        <n v="2725"/>
        <n v="6272"/>
        <n v="2127"/>
        <n v="18200"/>
        <n v="2096"/>
        <n v="2033"/>
        <n v="3622"/>
        <n v="4233"/>
        <n v="3681"/>
        <n v="5460"/>
        <n v="2187"/>
        <n v="9602"/>
        <n v="2836"/>
        <n v="4089"/>
        <n v="16627"/>
        <n v="2619"/>
        <n v="5679"/>
        <n v="15402"/>
        <n v="5985"/>
        <n v="2579"/>
        <n v="3041"/>
        <n v="3447"/>
        <n v="19513"/>
        <n v="2773"/>
        <n v="7104"/>
        <n v="6322"/>
        <n v="2083"/>
        <n v="8381"/>
        <n v="2691"/>
        <n v="4286"/>
        <n v="2659"/>
        <n v="9434"/>
        <n v="5561"/>
        <n v="6646"/>
        <n v="7725"/>
        <n v="10725"/>
        <n v="8847"/>
        <n v="2045"/>
        <n v="1009"/>
        <n v="3348"/>
        <n v="1281"/>
        <n v="2819"/>
        <n v="4851"/>
        <n v="4028"/>
        <n v="8120"/>
        <n v="4647"/>
        <n v="4680"/>
        <n v="3221"/>
        <n v="8621"/>
        <n v="4577"/>
        <n v="4553"/>
        <n v="5396"/>
        <n v="6796"/>
        <n v="7625"/>
        <n v="7412"/>
        <n v="11159"/>
        <n v="4960"/>
        <n v="10475"/>
        <n v="14814"/>
        <n v="19141"/>
        <n v="5405"/>
        <n v="8793"/>
        <n v="19189"/>
        <n v="3875"/>
        <n v="2216"/>
        <n v="11713"/>
        <n v="7861"/>
        <n v="3708"/>
        <n v="13770"/>
        <n v="2642"/>
        <n v="2759"/>
        <n v="6142"/>
        <n v="6389"/>
        <n v="11103"/>
        <n v="2342"/>
        <n v="2297"/>
        <n v="2450"/>
        <n v="5093"/>
        <n v="5309"/>
        <n v="3057"/>
        <n v="5121"/>
        <n v="16856"/>
        <n v="2686"/>
        <n v="6180"/>
        <n v="6632"/>
        <n v="3505"/>
        <n v="6274"/>
        <n v="19859"/>
        <n v="7587"/>
        <n v="4258"/>
        <n v="4364"/>
        <n v="4335"/>
        <n v="5326"/>
        <n v="3280"/>
        <n v="5485"/>
        <n v="4342"/>
        <n v="2782"/>
        <n v="5980"/>
        <n v="4381"/>
        <n v="2572"/>
        <n v="3833"/>
        <n v="4244"/>
        <n v="6500"/>
        <n v="18430"/>
        <n v="1601"/>
        <n v="2694"/>
        <n v="3149"/>
        <n v="17639"/>
        <n v="2319"/>
        <n v="11691"/>
        <n v="5324"/>
        <n v="16752"/>
        <n v="2700"/>
        <n v="19246"/>
        <n v="2506"/>
        <n v="6062"/>
        <n v="4382"/>
        <n v="2143"/>
        <n v="5094"/>
        <n v="6877"/>
        <n v="2274"/>
        <n v="4434"/>
        <n v="6288"/>
        <n v="2553"/>
        <n v="7654"/>
        <n v="5160"/>
        <n v="17159"/>
        <n v="12808"/>
        <n v="10221"/>
        <n v="4779"/>
        <n v="3737"/>
        <n v="2366"/>
        <n v="1706"/>
        <n v="16307"/>
        <n v="5933"/>
        <n v="3424"/>
        <n v="4037"/>
        <n v="2559"/>
        <n v="6201"/>
        <n v="4403"/>
        <n v="3761"/>
        <n v="10934"/>
        <n v="10761"/>
        <n v="5175"/>
        <n v="13826"/>
        <n v="6334"/>
        <n v="4775"/>
        <n v="2818"/>
        <n v="2515"/>
        <n v="4194"/>
        <n v="10685"/>
        <n v="2022"/>
        <n v="2314"/>
        <n v="4256"/>
        <n v="3580"/>
        <n v="3162"/>
        <n v="6524"/>
        <n v="2899"/>
        <n v="5231"/>
        <n v="2356"/>
        <n v="2800"/>
        <n v="11836"/>
        <n v="10903"/>
        <n v="2973"/>
        <n v="14275"/>
        <n v="5562"/>
        <n v="4537"/>
        <n v="7642"/>
        <n v="17924"/>
        <n v="5204"/>
        <n v="2277"/>
        <n v="2795"/>
        <n v="2532"/>
        <n v="4908"/>
        <n v="2380"/>
        <n v="4765"/>
        <n v="2044"/>
        <n v="6586"/>
        <n v="3294"/>
        <n v="4171"/>
        <n v="2778"/>
        <n v="2377"/>
        <n v="2404"/>
        <n v="2318"/>
        <n v="2008"/>
        <n v="6244"/>
        <n v="2799"/>
        <n v="10552"/>
        <n v="2329"/>
        <n v="7403"/>
        <n v="2259"/>
        <n v="6932"/>
        <n v="4678"/>
        <n v="13582"/>
        <n v="2332"/>
        <n v="2413"/>
        <n v="9705"/>
        <n v="4294"/>
        <n v="4721"/>
        <n v="2519"/>
        <n v="2121"/>
        <n v="5855"/>
        <n v="3617"/>
        <n v="6725"/>
        <n v="10325"/>
        <n v="6949"/>
        <n v="4447"/>
        <n v="2157"/>
        <n v="4601"/>
        <n v="17099"/>
        <n v="2479"/>
        <n v="14852"/>
        <n v="7264"/>
        <n v="5666"/>
        <n v="7823"/>
        <n v="7880"/>
        <n v="13194"/>
        <n v="5067"/>
        <n v="5079"/>
        <n v="2321"/>
        <n v="17444"/>
        <n v="2270"/>
        <n v="17399"/>
        <n v="5488"/>
        <n v="19419"/>
        <n v="2811"/>
        <n v="3633"/>
        <n v="4163"/>
        <n v="2132"/>
        <n v="13973"/>
        <n v="2684"/>
        <n v="10845"/>
        <n v="4377"/>
        <n v="3743"/>
        <n v="4148"/>
        <n v="1051"/>
        <n v="10739"/>
        <n v="10388"/>
        <n v="11416"/>
        <n v="2600"/>
        <n v="2422"/>
        <n v="5472"/>
        <n v="4240"/>
        <n v="10999"/>
        <n v="5003"/>
        <n v="12742"/>
        <n v="4227"/>
        <n v="3917"/>
        <n v="18303"/>
        <n v="13726"/>
        <n v="4777"/>
        <n v="6385"/>
        <n v="19973"/>
        <n v="6861"/>
        <n v="4969"/>
        <n v="19845"/>
        <n v="13320"/>
        <n v="2743"/>
        <n v="10880"/>
        <n v="17650"/>
        <n v="4025"/>
        <n v="9725"/>
        <n v="11904"/>
        <n v="7525"/>
        <n v="4834"/>
        <n v="2220"/>
        <n v="1052"/>
        <n v="2821"/>
        <n v="19237"/>
        <n v="4107"/>
        <n v="8396"/>
        <n v="2007"/>
        <n v="19627"/>
        <n v="10686"/>
        <n v="8858"/>
        <n v="16756"/>
        <n v="10798"/>
        <n v="1416"/>
        <n v="4615"/>
        <n v="2461"/>
        <n v="8722"/>
        <n v="3955"/>
        <n v="9957"/>
        <n v="3376"/>
        <n v="8823"/>
        <n v="10322"/>
        <n v="4621"/>
        <n v="10976"/>
        <n v="3660"/>
        <n v="10482"/>
        <n v="7119"/>
        <n v="9582"/>
        <n v="4508"/>
        <n v="2207"/>
        <n v="7756"/>
        <n v="6694"/>
        <n v="3691"/>
        <n v="2313"/>
        <n v="17665"/>
        <n v="2596"/>
        <n v="4728"/>
        <n v="4302"/>
        <n v="2979"/>
        <n v="16885"/>
        <n v="5593"/>
        <n v="10445"/>
        <n v="8740"/>
        <n v="2514"/>
        <n v="7655"/>
        <n v="17465"/>
        <n v="7351"/>
        <n v="10820"/>
        <n v="12169"/>
        <n v="19626"/>
        <n v="6782"/>
        <n v="7779"/>
        <n v="2791"/>
        <n v="3201"/>
        <n v="4968"/>
        <n v="13120"/>
        <n v="4033"/>
        <n v="3291"/>
        <n v="4272"/>
        <n v="5056"/>
        <n v="2844"/>
        <n v="1904"/>
        <n v="8224"/>
        <n v="4766"/>
        <n v="5731"/>
        <n v="2539"/>
        <n v="5714"/>
        <n v="4323"/>
        <n v="7336"/>
        <n v="13499"/>
        <n v="13758"/>
        <n v="5155"/>
        <n v="3597"/>
        <n v="4420"/>
        <n v="6578"/>
        <n v="4422"/>
        <n v="10274"/>
        <n v="5343"/>
        <n v="2376"/>
        <n v="5346"/>
        <n v="2827"/>
        <n v="19943"/>
        <n v="3131"/>
        <n v="2552"/>
        <n v="4477"/>
        <n v="6474"/>
        <n v="3033"/>
        <n v="2936"/>
        <n v="18606"/>
        <n v="2168"/>
        <n v="2853"/>
        <n v="17048"/>
        <n v="2290"/>
        <n v="3600"/>
        <n v="2107"/>
        <n v="4115"/>
        <n v="4327"/>
        <n v="17856"/>
        <n v="3196"/>
        <n v="19081"/>
        <n v="8966"/>
        <n v="2210"/>
        <n v="4539"/>
        <n v="3491"/>
        <n v="4541"/>
        <n v="2678"/>
        <n v="7379"/>
        <n v="5220"/>
        <n v="4998"/>
        <n v="10252"/>
        <n v="2781"/>
        <n v="6852"/>
        <n v="4950"/>
        <n v="3579"/>
        <n v="13191"/>
        <n v="10377"/>
        <n v="2235"/>
        <n v="10502"/>
        <n v="2011"/>
        <n v="1859"/>
        <n v="3760"/>
        <n v="17779"/>
        <n v="6833"/>
        <n v="6812"/>
        <n v="5171"/>
        <n v="19740"/>
        <n v="18711"/>
        <n v="3692"/>
        <n v="2517"/>
        <n v="6623"/>
        <n v="18265"/>
        <n v="16124"/>
        <n v="2585"/>
        <n v="18213"/>
        <n v="8380"/>
        <n v="2994"/>
        <n v="1223"/>
        <n v="1118"/>
        <n v="2875"/>
        <n v="18824"/>
        <n v="13577"/>
        <n v="2625"/>
        <n v="18789"/>
        <n v="4538"/>
        <n v="19847"/>
        <n v="10512"/>
        <n v="4444"/>
        <n v="2154"/>
        <n v="19190"/>
        <n v="4490"/>
        <n v="3506"/>
        <n v="2372"/>
        <n v="10231"/>
        <n v="5410"/>
        <n v="7978"/>
        <n v="3867"/>
        <n v="2838"/>
        <n v="4695"/>
        <n v="3339"/>
        <n v="2080"/>
        <n v="6209"/>
        <n v="18061"/>
        <n v="17123"/>
        <n v="4883"/>
        <n v="3904"/>
        <n v="4627"/>
        <n v="7094"/>
        <n v="3423"/>
        <n v="6674"/>
        <n v="16880"/>
        <n v="9094"/>
        <n v="8446"/>
        <n v="11916"/>
        <n v="4534"/>
        <n v="9852"/>
        <n v="6151"/>
        <n v="2302"/>
        <n v="2362"/>
        <n v="19187"/>
        <n v="19717"/>
        <n v="3544"/>
        <n v="8500"/>
        <n v="4661"/>
        <n v="4103"/>
        <n v="4249"/>
        <n v="14026"/>
        <n v="6893"/>
        <n v="6125"/>
        <n v="3669"/>
        <n v="10008"/>
        <n v="2387"/>
        <n v="4639"/>
        <n v="7898"/>
        <n v="2534"/>
        <n v="13142"/>
        <n v="1611"/>
        <n v="5363"/>
        <n v="5071"/>
        <n v="13695"/>
        <n v="13402"/>
        <n v="2029"/>
        <n v="6377"/>
        <n v="5429"/>
        <n v="2785"/>
        <n v="4614"/>
        <n v="6687"/>
        <n v="4724"/>
        <n v="6179"/>
        <n v="6120"/>
        <n v="10596"/>
        <n v="5467"/>
        <n v="2996"/>
        <n v="9998"/>
        <n v="4078"/>
        <n v="10920"/>
        <n v="6232"/>
        <n v="13247"/>
        <n v="4081"/>
        <n v="5769"/>
        <n v="2394"/>
        <n v="16799"/>
        <n v="2950"/>
        <n v="3629"/>
        <n v="9362"/>
        <n v="3229"/>
        <n v="3578"/>
        <n v="7988"/>
        <n v="4284"/>
        <n v="7553"/>
        <n v="19701"/>
        <n v="14732"/>
        <n v="9278"/>
        <n v="1359"/>
        <n v="16422"/>
        <n v="1261"/>
        <n v="2099"/>
        <n v="5810"/>
        <n v="5647"/>
        <n v="3420"/>
        <n v="4400"/>
        <n v="3500"/>
        <n v="2066"/>
        <n v="17169"/>
        <n v="4162"/>
        <n v="9204"/>
        <n v="3975"/>
        <n v="10793"/>
        <n v="3646"/>
        <n v="7446"/>
        <n v="10851"/>
        <n v="2109"/>
        <n v="3722"/>
        <n v="9380"/>
        <n v="5486"/>
        <n v="2742"/>
        <n v="13757"/>
        <n v="8463"/>
        <n v="16598"/>
        <n v="6651"/>
        <n v="2345"/>
        <n v="4373"/>
        <n v="4759"/>
        <n v="5301"/>
        <n v="3673"/>
        <n v="4768"/>
        <n v="1274"/>
        <n v="4900"/>
        <n v="10466"/>
        <n v="17007"/>
        <n v="5765"/>
        <n v="4599"/>
        <n v="3172"/>
        <n v="10209"/>
        <n v="8620"/>
        <n v="2064"/>
        <n v="4035"/>
        <n v="3838"/>
        <n v="4591"/>
        <n v="2561"/>
        <n v="1563"/>
        <n v="4789"/>
        <n v="3180"/>
        <n v="6549"/>
        <n v="6388"/>
        <n v="11244"/>
        <n v="16032"/>
        <n v="16328"/>
        <n v="8376"/>
        <n v="16606"/>
        <n v="8606"/>
        <n v="2272"/>
        <n v="2018"/>
        <n v="7083"/>
        <n v="4084"/>
        <n v="14411"/>
        <n v="2308"/>
        <n v="4841"/>
        <n v="4285"/>
        <n v="9715"/>
        <n v="4320"/>
        <n v="10124"/>
        <n v="5207"/>
        <n v="16437"/>
        <n v="2296"/>
        <n v="4069"/>
        <n v="7441"/>
        <n v="2430"/>
        <n v="5878"/>
        <n v="2644"/>
        <n v="6439"/>
        <n v="6392"/>
        <n v="9714"/>
        <n v="6077"/>
        <n v="9250"/>
        <n v="2074"/>
        <n v="10169"/>
        <n v="4855"/>
        <n v="4087"/>
        <n v="2367"/>
        <n v="2972"/>
        <n v="19586"/>
        <n v="2061"/>
        <n v="9924"/>
        <n v="4198"/>
        <n v="6815"/>
        <n v="4723"/>
        <n v="8237"/>
        <n v="8853"/>
        <n v="19331"/>
        <n v="19613"/>
        <n v="5063"/>
        <n v="2690"/>
        <n v="17567"/>
        <n v="2408"/>
        <n v="2814"/>
        <n v="11245"/>
        <n v="3312"/>
        <n v="19049"/>
        <n v="2141"/>
        <n v="4385"/>
        <n v="5332"/>
        <n v="4663"/>
        <n v="3211"/>
        <n v="5377"/>
        <n v="4066"/>
        <n v="5208"/>
        <n v="4877"/>
        <n v="3117"/>
        <n v="1569"/>
        <n v="19658"/>
        <n v="3069"/>
        <n v="10435"/>
        <n v="5768"/>
        <n v="5042"/>
        <n v="5770"/>
        <n v="10306"/>
        <n v="3936"/>
        <n v="7945"/>
        <n v="5743"/>
        <n v="15202"/>
        <n v="5440"/>
        <n v="3517"/>
        <n v="2580"/>
        <n v="2166"/>
        <n v="5869"/>
        <n v="8008"/>
        <n v="5206"/>
        <n v="5295"/>
        <n v="16413"/>
        <n v="13269"/>
        <n v="2783"/>
        <n v="5433"/>
        <n v="2013"/>
        <n v="13966"/>
        <n v="4374"/>
        <n v="6842"/>
        <n v="17426"/>
        <n v="17603"/>
        <n v="4581"/>
        <n v="4735"/>
        <n v="4187"/>
        <n v="5505"/>
        <n v="5470"/>
        <n v="5476"/>
        <n v="2587"/>
        <n v="2440"/>
        <n v="15972"/>
        <n v="15379"/>
        <n v="7082"/>
        <n v="2728"/>
        <n v="5368"/>
        <n v="5347"/>
        <n v="3195"/>
        <n v="3989"/>
        <n v="3306"/>
        <n v="7005"/>
        <n v="2655"/>
        <n v="1393"/>
        <n v="2570"/>
        <n v="3537"/>
        <n v="3986"/>
        <n v="10883"/>
        <n v="9525"/>
        <n v="2929"/>
        <n v="2275"/>
        <n v="7879"/>
        <n v="4930"/>
        <n v="7847"/>
        <n v="4401"/>
        <n v="9241"/>
        <n v="2974"/>
        <n v="4502"/>
        <n v="10748"/>
        <n v="1555"/>
        <n v="12936"/>
        <n v="2305"/>
        <n v="16704"/>
        <n v="3433"/>
        <n v="3477"/>
        <n v="6430"/>
        <n v="6516"/>
        <n v="3907"/>
        <n v="6883"/>
        <n v="2862"/>
        <n v="4978"/>
        <n v="10368"/>
        <n v="6134"/>
        <n v="6735"/>
        <n v="3295"/>
        <n v="6472"/>
        <n v="9610"/>
        <n v="19833"/>
        <n v="9756"/>
        <n v="2145"/>
        <n v="2180"/>
        <n v="8346"/>
        <n v="3445"/>
        <n v="2760"/>
        <n v="6294"/>
        <n v="7140"/>
        <n v="2932"/>
        <n v="5147"/>
        <n v="4507"/>
        <n v="8564"/>
        <n v="2468"/>
        <n v="8161"/>
        <n v="5294"/>
        <n v="2718"/>
        <n v="5811"/>
        <n v="2437"/>
        <n v="2766"/>
        <n v="19038"/>
        <n v="3055"/>
        <n v="2289"/>
        <n v="4001"/>
        <n v="12965"/>
        <n v="3539"/>
        <n v="6029"/>
        <n v="2679"/>
        <n v="3702"/>
        <n v="2398"/>
        <n v="5468"/>
        <n v="13116"/>
        <n v="4189"/>
        <n v="19328"/>
        <n v="8321"/>
        <n v="4071"/>
        <n v="5813"/>
        <n v="3143"/>
        <n v="13464"/>
        <n v="7991"/>
        <n v="3377"/>
        <n v="5538"/>
        <n v="5762"/>
        <n v="2592"/>
        <n v="4213"/>
        <n v="4127"/>
        <n v="2438"/>
        <n v="6870"/>
        <n v="10447"/>
        <n v="9667"/>
        <n v="2148"/>
        <n v="8926"/>
        <n v="6513"/>
        <n v="6799"/>
        <n v="16291"/>
        <n v="2705"/>
        <n v="10333"/>
        <n v="4448"/>
        <n v="6854"/>
        <n v="9637"/>
        <n v="3591"/>
        <n v="4684"/>
        <n v="15787"/>
        <n v="1514"/>
        <n v="2335"/>
        <n v="5154"/>
        <n v="6962"/>
        <n v="5675"/>
        <n v="2379"/>
        <n v="3812"/>
        <n v="4648"/>
        <n v="2105"/>
        <n v="8578"/>
        <n v="2706"/>
        <n v="6384"/>
        <n v="3968"/>
        <n v="9907"/>
        <n v="13225"/>
        <n v="3540"/>
        <n v="2804"/>
        <n v="19392"/>
        <n v="19665"/>
        <n v="2439"/>
        <n v="7314"/>
        <n v="4774"/>
        <n v="3902"/>
        <n v="2662"/>
        <n v="2856"/>
        <n v="1081"/>
        <n v="2472"/>
        <n v="5673"/>
        <n v="9713"/>
        <n v="2062"/>
        <n v="4788"/>
        <n v="5906"/>
        <n v="3886"/>
        <n v="16823"/>
        <n v="2933"/>
        <n v="17174"/>
        <n v="5033"/>
        <n v="2307"/>
        <n v="5507"/>
        <n v="4393"/>
        <n v="13348"/>
        <n v="6583"/>
        <n v="8103"/>
        <n v="3978"/>
        <n v="2544"/>
        <n v="5399"/>
        <n v="5487"/>
        <n v="6834"/>
        <n v="1091"/>
        <n v="5736"/>
        <n v="2226"/>
        <n v="5747"/>
        <n v="9854"/>
        <n v="5380"/>
        <n v="5151"/>
        <n v="2133"/>
        <n v="17875"/>
        <n v="2432"/>
        <n v="4771"/>
        <n v="19161"/>
        <n v="5087"/>
        <n v="2863"/>
        <n v="2144"/>
        <n v="3065"/>
        <n v="2810"/>
        <n v="9888"/>
        <n v="8628"/>
        <n v="2867"/>
        <n v="5373"/>
        <n v="6667"/>
        <n v="2858"/>
        <n v="4105"/>
        <n v="9679"/>
        <n v="5617"/>
        <n v="10448"/>
        <n v="2897"/>
        <n v="5968"/>
        <n v="7510"/>
        <n v="2991"/>
        <n v="19636"/>
        <n v="1129"/>
        <n v="13341"/>
        <n v="4332"/>
        <n v="11031"/>
        <n v="4440"/>
        <n v="4617"/>
        <n v="2647"/>
        <n v="6323"/>
        <n v="5677"/>
        <n v="3748"/>
        <n v="3977"/>
        <n v="8633"/>
        <n v="3067"/>
        <n v="5321"/>
        <n v="11957"/>
        <n v="2660"/>
        <n v="3375"/>
        <n v="5098"/>
        <n v="4878"/>
        <n v="2837"/>
        <n v="4108"/>
        <n v="13206"/>
        <n v="10422"/>
        <n v="13744"/>
        <n v="3482"/>
        <n v="19431"/>
        <n v="1790"/>
        <n v="7644"/>
        <n v="5131"/>
        <n v="6306"/>
        <n v="4787"/>
        <n v="18880"/>
        <n v="2339"/>
        <n v="13570"/>
        <n v="6712"/>
        <n v="5406"/>
        <n v="8938"/>
        <n v="8837"/>
        <n v="6728"/>
        <n v="6652"/>
        <n v="4850"/>
        <n v="2809"/>
        <n v="5689"/>
        <n v="2001"/>
        <n v="2977"/>
        <n v="3785"/>
        <n v="10854"/>
        <n v="12031"/>
        <n v="9936"/>
        <n v="2966"/>
        <n v="2571"/>
        <n v="9991"/>
        <n v="5390"/>
        <n v="4404"/>
      </sharedItems>
      <fieldGroup base="18">
        <rangePr startNum="1009" endNum="19999" groupInterval="3000"/>
        <groupItems count="9">
          <s v="&lt;1009"/>
          <s v="1009-4008"/>
          <s v="4009-7008"/>
          <s v="7009-10008"/>
          <s v="10009-13008"/>
          <s v="13009-16008"/>
          <s v="16009-19008"/>
          <s v="19009-22008"/>
          <s v="&gt;22009"/>
        </groupItems>
      </fieldGroup>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ount="16">
        <n v="0"/>
        <n v="1"/>
        <n v="3"/>
        <n v="2"/>
        <n v="7"/>
        <n v="4"/>
        <n v="8"/>
        <n v="6"/>
        <n v="5"/>
        <n v="15"/>
        <n v="9"/>
        <n v="13"/>
        <n v="12"/>
        <n v="10"/>
        <n v="11"/>
        <n v="14"/>
      </sharedItems>
      <fieldGroup base="33">
        <rangePr startNum="0" endNum="15" groupInterval="3"/>
        <groupItems count="7">
          <s v="&lt;0"/>
          <s v="0-2"/>
          <s v="3-5"/>
          <s v="6-8"/>
          <s v="9-11"/>
          <s v="12-15"/>
          <s v="&gt;15"/>
        </groupItems>
      </fieldGroup>
    </cacheField>
    <cacheField name="YearsWithCurrManager" numFmtId="0">
      <sharedItems containsSemiMixedTypes="0" containsString="0" containsNumber="1" containsInteger="1" minValue="0" maxValue="17" count="18">
        <n v="5"/>
        <n v="7"/>
        <n v="0"/>
        <n v="2"/>
        <n v="6"/>
        <n v="8"/>
        <n v="3"/>
        <n v="11"/>
        <n v="17"/>
        <n v="1"/>
        <n v="4"/>
        <n v="12"/>
        <n v="9"/>
        <n v="10"/>
        <n v="15"/>
        <n v="13"/>
        <n v="16"/>
        <n v="14"/>
      </sharedItems>
      <fieldGroup base="34">
        <rangePr startNum="0" endNum="17" groupInterval="3"/>
        <groupItems count="8">
          <s v="&lt;0"/>
          <s v="0-2"/>
          <s v="3-5"/>
          <s v="6-8"/>
          <s v="9-11"/>
          <s v="12-14"/>
          <s v="15-17"/>
          <s v="&gt;18"/>
        </groupItems>
      </fieldGroup>
    </cacheField>
  </cacheFields>
  <extLst>
    <ext xmlns:x14="http://schemas.microsoft.com/office/spreadsheetml/2009/9/main" uri="{725AE2AE-9491-48be-B2B4-4EB974FC3084}">
      <x14:pivotCacheDefinition pivotCacheId="2287366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x v="0"/>
    <x v="0"/>
    <n v="1102"/>
    <x v="0"/>
    <x v="0"/>
    <n v="2"/>
    <x v="0"/>
    <n v="1"/>
    <n v="1"/>
    <n v="2"/>
    <x v="0"/>
    <x v="0"/>
    <n v="3"/>
    <n v="2"/>
    <x v="0"/>
    <n v="4"/>
    <x v="0"/>
    <x v="0"/>
    <n v="19479"/>
    <n v="8"/>
    <s v="Y"/>
    <x v="0"/>
    <n v="11"/>
    <n v="3"/>
    <n v="1"/>
    <n v="80"/>
    <n v="0"/>
    <n v="8"/>
    <n v="0"/>
    <n v="1"/>
    <n v="6"/>
    <n v="4"/>
    <x v="0"/>
    <x v="0"/>
  </r>
  <r>
    <x v="1"/>
    <x v="1"/>
    <x v="1"/>
    <n v="279"/>
    <x v="1"/>
    <x v="1"/>
    <n v="1"/>
    <x v="0"/>
    <n v="1"/>
    <n v="2"/>
    <n v="3"/>
    <x v="1"/>
    <x v="1"/>
    <n v="2"/>
    <n v="2"/>
    <x v="1"/>
    <n v="2"/>
    <x v="1"/>
    <x v="1"/>
    <n v="24907"/>
    <n v="1"/>
    <s v="Y"/>
    <x v="1"/>
    <n v="23"/>
    <n v="4"/>
    <n v="4"/>
    <n v="80"/>
    <n v="1"/>
    <n v="10"/>
    <n v="3"/>
    <n v="3"/>
    <n v="10"/>
    <n v="7"/>
    <x v="1"/>
    <x v="1"/>
  </r>
  <r>
    <x v="2"/>
    <x v="0"/>
    <x v="0"/>
    <n v="1373"/>
    <x v="1"/>
    <x v="2"/>
    <n v="2"/>
    <x v="1"/>
    <n v="1"/>
    <n v="4"/>
    <n v="4"/>
    <x v="1"/>
    <x v="2"/>
    <n v="2"/>
    <n v="1"/>
    <x v="2"/>
    <n v="3"/>
    <x v="0"/>
    <x v="2"/>
    <n v="2396"/>
    <n v="6"/>
    <s v="Y"/>
    <x v="0"/>
    <n v="15"/>
    <n v="3"/>
    <n v="2"/>
    <n v="80"/>
    <n v="0"/>
    <n v="7"/>
    <n v="3"/>
    <n v="3"/>
    <n v="0"/>
    <n v="0"/>
    <x v="0"/>
    <x v="2"/>
  </r>
  <r>
    <x v="3"/>
    <x v="1"/>
    <x v="1"/>
    <n v="1392"/>
    <x v="1"/>
    <x v="3"/>
    <n v="4"/>
    <x v="0"/>
    <n v="1"/>
    <n v="5"/>
    <n v="4"/>
    <x v="0"/>
    <x v="3"/>
    <n v="3"/>
    <n v="1"/>
    <x v="1"/>
    <n v="3"/>
    <x v="1"/>
    <x v="3"/>
    <n v="23159"/>
    <n v="1"/>
    <s v="Y"/>
    <x v="0"/>
    <n v="11"/>
    <n v="3"/>
    <n v="3"/>
    <n v="80"/>
    <n v="0"/>
    <n v="8"/>
    <n v="3"/>
    <n v="3"/>
    <n v="8"/>
    <n v="7"/>
    <x v="2"/>
    <x v="2"/>
  </r>
  <r>
    <x v="4"/>
    <x v="1"/>
    <x v="0"/>
    <n v="591"/>
    <x v="1"/>
    <x v="2"/>
    <n v="1"/>
    <x v="2"/>
    <n v="1"/>
    <n v="7"/>
    <n v="1"/>
    <x v="1"/>
    <x v="4"/>
    <n v="3"/>
    <n v="1"/>
    <x v="2"/>
    <n v="2"/>
    <x v="1"/>
    <x v="4"/>
    <n v="16632"/>
    <n v="9"/>
    <s v="Y"/>
    <x v="1"/>
    <n v="12"/>
    <n v="3"/>
    <n v="4"/>
    <n v="80"/>
    <n v="1"/>
    <n v="6"/>
    <n v="3"/>
    <n v="3"/>
    <n v="2"/>
    <n v="2"/>
    <x v="3"/>
    <x v="3"/>
  </r>
  <r>
    <x v="5"/>
    <x v="1"/>
    <x v="1"/>
    <n v="1005"/>
    <x v="1"/>
    <x v="2"/>
    <n v="2"/>
    <x v="0"/>
    <n v="1"/>
    <n v="8"/>
    <n v="4"/>
    <x v="1"/>
    <x v="5"/>
    <n v="3"/>
    <n v="1"/>
    <x v="2"/>
    <n v="4"/>
    <x v="0"/>
    <x v="5"/>
    <n v="11864"/>
    <n v="0"/>
    <s v="Y"/>
    <x v="1"/>
    <n v="13"/>
    <n v="3"/>
    <n v="3"/>
    <n v="80"/>
    <n v="0"/>
    <n v="8"/>
    <n v="2"/>
    <n v="2"/>
    <n v="7"/>
    <n v="7"/>
    <x v="2"/>
    <x v="4"/>
  </r>
  <r>
    <x v="6"/>
    <x v="1"/>
    <x v="0"/>
    <n v="1324"/>
    <x v="1"/>
    <x v="3"/>
    <n v="3"/>
    <x v="2"/>
    <n v="1"/>
    <n v="10"/>
    <n v="3"/>
    <x v="0"/>
    <x v="6"/>
    <n v="4"/>
    <n v="1"/>
    <x v="2"/>
    <n v="1"/>
    <x v="1"/>
    <x v="6"/>
    <n v="9964"/>
    <n v="4"/>
    <s v="Y"/>
    <x v="0"/>
    <n v="20"/>
    <n v="4"/>
    <n v="1"/>
    <n v="80"/>
    <n v="3"/>
    <n v="12"/>
    <n v="3"/>
    <n v="2"/>
    <n v="1"/>
    <n v="0"/>
    <x v="0"/>
    <x v="2"/>
  </r>
  <r>
    <x v="7"/>
    <x v="1"/>
    <x v="0"/>
    <n v="1358"/>
    <x v="1"/>
    <x v="4"/>
    <n v="1"/>
    <x v="0"/>
    <n v="1"/>
    <n v="11"/>
    <n v="4"/>
    <x v="1"/>
    <x v="7"/>
    <n v="3"/>
    <n v="1"/>
    <x v="2"/>
    <n v="3"/>
    <x v="2"/>
    <x v="7"/>
    <n v="13335"/>
    <n v="1"/>
    <s v="Y"/>
    <x v="1"/>
    <n v="22"/>
    <n v="4"/>
    <n v="2"/>
    <n v="80"/>
    <n v="1"/>
    <n v="1"/>
    <n v="2"/>
    <n v="3"/>
    <n v="1"/>
    <n v="0"/>
    <x v="0"/>
    <x v="2"/>
  </r>
  <r>
    <x v="8"/>
    <x v="1"/>
    <x v="1"/>
    <n v="216"/>
    <x v="1"/>
    <x v="5"/>
    <n v="3"/>
    <x v="0"/>
    <n v="1"/>
    <n v="12"/>
    <n v="4"/>
    <x v="1"/>
    <x v="8"/>
    <n v="2"/>
    <n v="3"/>
    <x v="3"/>
    <n v="3"/>
    <x v="0"/>
    <x v="8"/>
    <n v="8787"/>
    <n v="0"/>
    <s v="Y"/>
    <x v="1"/>
    <n v="21"/>
    <n v="4"/>
    <n v="2"/>
    <n v="80"/>
    <n v="0"/>
    <n v="10"/>
    <n v="2"/>
    <n v="3"/>
    <n v="9"/>
    <n v="7"/>
    <x v="1"/>
    <x v="5"/>
  </r>
  <r>
    <x v="9"/>
    <x v="1"/>
    <x v="0"/>
    <n v="1299"/>
    <x v="1"/>
    <x v="6"/>
    <n v="3"/>
    <x v="2"/>
    <n v="1"/>
    <n v="13"/>
    <n v="3"/>
    <x v="1"/>
    <x v="0"/>
    <n v="3"/>
    <n v="2"/>
    <x v="4"/>
    <n v="3"/>
    <x v="1"/>
    <x v="9"/>
    <n v="16577"/>
    <n v="6"/>
    <s v="Y"/>
    <x v="1"/>
    <n v="13"/>
    <n v="3"/>
    <n v="2"/>
    <n v="80"/>
    <n v="2"/>
    <n v="17"/>
    <n v="3"/>
    <n v="2"/>
    <n v="7"/>
    <n v="7"/>
    <x v="4"/>
    <x v="1"/>
  </r>
  <r>
    <x v="10"/>
    <x v="1"/>
    <x v="0"/>
    <n v="809"/>
    <x v="1"/>
    <x v="7"/>
    <n v="3"/>
    <x v="2"/>
    <n v="1"/>
    <n v="14"/>
    <n v="1"/>
    <x v="1"/>
    <x v="9"/>
    <n v="4"/>
    <n v="1"/>
    <x v="2"/>
    <n v="2"/>
    <x v="1"/>
    <x v="10"/>
    <n v="16479"/>
    <n v="0"/>
    <s v="Y"/>
    <x v="1"/>
    <n v="13"/>
    <n v="3"/>
    <n v="3"/>
    <n v="80"/>
    <n v="1"/>
    <n v="6"/>
    <n v="5"/>
    <n v="3"/>
    <n v="5"/>
    <n v="4"/>
    <x v="0"/>
    <x v="6"/>
  </r>
  <r>
    <x v="11"/>
    <x v="1"/>
    <x v="0"/>
    <n v="153"/>
    <x v="1"/>
    <x v="8"/>
    <n v="2"/>
    <x v="0"/>
    <n v="1"/>
    <n v="15"/>
    <n v="4"/>
    <x v="0"/>
    <x v="10"/>
    <n v="2"/>
    <n v="2"/>
    <x v="2"/>
    <n v="3"/>
    <x v="0"/>
    <x v="11"/>
    <n v="12682"/>
    <n v="0"/>
    <s v="Y"/>
    <x v="0"/>
    <n v="12"/>
    <n v="3"/>
    <n v="4"/>
    <n v="80"/>
    <n v="0"/>
    <n v="10"/>
    <n v="3"/>
    <n v="3"/>
    <n v="9"/>
    <n v="5"/>
    <x v="0"/>
    <x v="5"/>
  </r>
  <r>
    <x v="12"/>
    <x v="1"/>
    <x v="0"/>
    <n v="670"/>
    <x v="1"/>
    <x v="9"/>
    <n v="1"/>
    <x v="0"/>
    <n v="1"/>
    <n v="16"/>
    <n v="1"/>
    <x v="1"/>
    <x v="11"/>
    <n v="3"/>
    <n v="1"/>
    <x v="1"/>
    <n v="3"/>
    <x v="2"/>
    <x v="12"/>
    <n v="15170"/>
    <n v="1"/>
    <s v="Y"/>
    <x v="1"/>
    <n v="17"/>
    <n v="3"/>
    <n v="4"/>
    <n v="80"/>
    <n v="1"/>
    <n v="5"/>
    <n v="1"/>
    <n v="2"/>
    <n v="5"/>
    <n v="2"/>
    <x v="5"/>
    <x v="6"/>
  </r>
  <r>
    <x v="13"/>
    <x v="1"/>
    <x v="0"/>
    <n v="1346"/>
    <x v="1"/>
    <x v="10"/>
    <n v="2"/>
    <x v="2"/>
    <n v="1"/>
    <n v="18"/>
    <n v="2"/>
    <x v="1"/>
    <x v="12"/>
    <n v="3"/>
    <n v="1"/>
    <x v="2"/>
    <n v="4"/>
    <x v="2"/>
    <x v="13"/>
    <n v="8758"/>
    <n v="0"/>
    <s v="Y"/>
    <x v="1"/>
    <n v="11"/>
    <n v="3"/>
    <n v="3"/>
    <n v="80"/>
    <n v="1"/>
    <n v="3"/>
    <n v="2"/>
    <n v="3"/>
    <n v="2"/>
    <n v="2"/>
    <x v="1"/>
    <x v="3"/>
  </r>
  <r>
    <x v="14"/>
    <x v="0"/>
    <x v="0"/>
    <n v="103"/>
    <x v="1"/>
    <x v="4"/>
    <n v="3"/>
    <x v="0"/>
    <n v="1"/>
    <n v="19"/>
    <n v="3"/>
    <x v="1"/>
    <x v="13"/>
    <n v="2"/>
    <n v="1"/>
    <x v="2"/>
    <n v="3"/>
    <x v="0"/>
    <x v="14"/>
    <n v="12947"/>
    <n v="5"/>
    <s v="Y"/>
    <x v="0"/>
    <n v="14"/>
    <n v="3"/>
    <n v="2"/>
    <n v="80"/>
    <n v="0"/>
    <n v="6"/>
    <n v="4"/>
    <n v="3"/>
    <n v="4"/>
    <n v="2"/>
    <x v="0"/>
    <x v="6"/>
  </r>
  <r>
    <x v="11"/>
    <x v="1"/>
    <x v="0"/>
    <n v="1389"/>
    <x v="1"/>
    <x v="11"/>
    <n v="4"/>
    <x v="0"/>
    <n v="1"/>
    <n v="20"/>
    <n v="2"/>
    <x v="0"/>
    <x v="14"/>
    <n v="4"/>
    <n v="3"/>
    <x v="3"/>
    <n v="1"/>
    <x v="2"/>
    <x v="15"/>
    <n v="10195"/>
    <n v="1"/>
    <s v="Y"/>
    <x v="1"/>
    <n v="11"/>
    <n v="3"/>
    <n v="3"/>
    <n v="80"/>
    <n v="1"/>
    <n v="10"/>
    <n v="1"/>
    <n v="3"/>
    <n v="10"/>
    <n v="9"/>
    <x v="6"/>
    <x v="5"/>
  </r>
  <r>
    <x v="5"/>
    <x v="1"/>
    <x v="0"/>
    <n v="334"/>
    <x v="1"/>
    <x v="12"/>
    <n v="2"/>
    <x v="0"/>
    <n v="1"/>
    <n v="21"/>
    <n v="1"/>
    <x v="1"/>
    <x v="15"/>
    <n v="4"/>
    <n v="1"/>
    <x v="1"/>
    <n v="2"/>
    <x v="2"/>
    <x v="16"/>
    <n v="15053"/>
    <n v="0"/>
    <s v="Y"/>
    <x v="0"/>
    <n v="12"/>
    <n v="3"/>
    <n v="4"/>
    <n v="80"/>
    <n v="2"/>
    <n v="7"/>
    <n v="5"/>
    <n v="2"/>
    <n v="6"/>
    <n v="2"/>
    <x v="0"/>
    <x v="0"/>
  </r>
  <r>
    <x v="15"/>
    <x v="1"/>
    <x v="2"/>
    <n v="1123"/>
    <x v="1"/>
    <x v="7"/>
    <n v="2"/>
    <x v="2"/>
    <n v="1"/>
    <n v="22"/>
    <n v="4"/>
    <x v="1"/>
    <x v="16"/>
    <n v="4"/>
    <n v="1"/>
    <x v="2"/>
    <n v="4"/>
    <x v="2"/>
    <x v="17"/>
    <n v="7324"/>
    <n v="1"/>
    <s v="Y"/>
    <x v="0"/>
    <n v="13"/>
    <n v="3"/>
    <n v="2"/>
    <n v="80"/>
    <n v="2"/>
    <n v="1"/>
    <n v="2"/>
    <n v="2"/>
    <n v="1"/>
    <n v="0"/>
    <x v="0"/>
    <x v="2"/>
  </r>
  <r>
    <x v="16"/>
    <x v="1"/>
    <x v="0"/>
    <n v="1219"/>
    <x v="0"/>
    <x v="2"/>
    <n v="4"/>
    <x v="0"/>
    <n v="1"/>
    <n v="23"/>
    <n v="1"/>
    <x v="0"/>
    <x v="17"/>
    <n v="2"/>
    <n v="4"/>
    <x v="5"/>
    <n v="4"/>
    <x v="1"/>
    <x v="18"/>
    <n v="22021"/>
    <n v="2"/>
    <s v="Y"/>
    <x v="1"/>
    <n v="16"/>
    <n v="3"/>
    <n v="3"/>
    <n v="80"/>
    <n v="0"/>
    <n v="31"/>
    <n v="3"/>
    <n v="3"/>
    <n v="25"/>
    <n v="8"/>
    <x v="2"/>
    <x v="1"/>
  </r>
  <r>
    <x v="8"/>
    <x v="1"/>
    <x v="0"/>
    <n v="371"/>
    <x v="1"/>
    <x v="2"/>
    <n v="3"/>
    <x v="0"/>
    <n v="1"/>
    <n v="24"/>
    <n v="4"/>
    <x v="1"/>
    <x v="18"/>
    <n v="3"/>
    <n v="1"/>
    <x v="1"/>
    <n v="4"/>
    <x v="0"/>
    <x v="19"/>
    <n v="4306"/>
    <n v="5"/>
    <s v="Y"/>
    <x v="0"/>
    <n v="11"/>
    <n v="3"/>
    <n v="3"/>
    <n v="80"/>
    <n v="0"/>
    <n v="6"/>
    <n v="3"/>
    <n v="3"/>
    <n v="3"/>
    <n v="2"/>
    <x v="1"/>
    <x v="3"/>
  </r>
  <r>
    <x v="17"/>
    <x v="1"/>
    <x v="2"/>
    <n v="673"/>
    <x v="1"/>
    <x v="13"/>
    <n v="2"/>
    <x v="1"/>
    <n v="1"/>
    <n v="26"/>
    <n v="1"/>
    <x v="0"/>
    <x v="16"/>
    <n v="4"/>
    <n v="2"/>
    <x v="3"/>
    <n v="3"/>
    <x v="2"/>
    <x v="20"/>
    <n v="8232"/>
    <n v="0"/>
    <s v="Y"/>
    <x v="1"/>
    <n v="18"/>
    <n v="3"/>
    <n v="4"/>
    <n v="80"/>
    <n v="1"/>
    <n v="5"/>
    <n v="5"/>
    <n v="2"/>
    <n v="4"/>
    <n v="2"/>
    <x v="1"/>
    <x v="6"/>
  </r>
  <r>
    <x v="9"/>
    <x v="0"/>
    <x v="0"/>
    <n v="1218"/>
    <x v="0"/>
    <x v="14"/>
    <n v="4"/>
    <x v="0"/>
    <n v="1"/>
    <n v="27"/>
    <n v="3"/>
    <x v="1"/>
    <x v="19"/>
    <n v="2"/>
    <n v="1"/>
    <x v="6"/>
    <n v="1"/>
    <x v="0"/>
    <x v="21"/>
    <n v="6986"/>
    <n v="7"/>
    <s v="Y"/>
    <x v="1"/>
    <n v="23"/>
    <n v="4"/>
    <n v="2"/>
    <n v="80"/>
    <n v="0"/>
    <n v="10"/>
    <n v="4"/>
    <n v="3"/>
    <n v="5"/>
    <n v="3"/>
    <x v="0"/>
    <x v="6"/>
  </r>
  <r>
    <x v="13"/>
    <x v="1"/>
    <x v="0"/>
    <n v="419"/>
    <x v="1"/>
    <x v="15"/>
    <n v="4"/>
    <x v="0"/>
    <n v="1"/>
    <n v="28"/>
    <n v="1"/>
    <x v="0"/>
    <x v="20"/>
    <n v="3"/>
    <n v="3"/>
    <x v="7"/>
    <n v="2"/>
    <x v="0"/>
    <x v="22"/>
    <n v="21293"/>
    <n v="0"/>
    <s v="Y"/>
    <x v="1"/>
    <n v="11"/>
    <n v="3"/>
    <n v="3"/>
    <n v="80"/>
    <n v="0"/>
    <n v="13"/>
    <n v="4"/>
    <n v="3"/>
    <n v="12"/>
    <n v="6"/>
    <x v="3"/>
    <x v="7"/>
  </r>
  <r>
    <x v="18"/>
    <x v="1"/>
    <x v="0"/>
    <n v="391"/>
    <x v="1"/>
    <x v="8"/>
    <n v="2"/>
    <x v="0"/>
    <n v="1"/>
    <n v="30"/>
    <n v="3"/>
    <x v="1"/>
    <x v="16"/>
    <n v="3"/>
    <n v="1"/>
    <x v="1"/>
    <n v="4"/>
    <x v="0"/>
    <x v="23"/>
    <n v="19281"/>
    <n v="1"/>
    <s v="Y"/>
    <x v="1"/>
    <n v="14"/>
    <n v="3"/>
    <n v="4"/>
    <n v="80"/>
    <n v="0"/>
    <n v="0"/>
    <n v="6"/>
    <n v="3"/>
    <n v="0"/>
    <n v="0"/>
    <x v="0"/>
    <x v="2"/>
  </r>
  <r>
    <x v="13"/>
    <x v="0"/>
    <x v="0"/>
    <n v="699"/>
    <x v="1"/>
    <x v="16"/>
    <n v="1"/>
    <x v="2"/>
    <n v="1"/>
    <n v="31"/>
    <n v="2"/>
    <x v="1"/>
    <x v="21"/>
    <n v="3"/>
    <n v="1"/>
    <x v="1"/>
    <n v="1"/>
    <x v="0"/>
    <x v="24"/>
    <n v="17102"/>
    <n v="2"/>
    <s v="Y"/>
    <x v="1"/>
    <n v="11"/>
    <n v="3"/>
    <n v="3"/>
    <n v="80"/>
    <n v="0"/>
    <n v="8"/>
    <n v="2"/>
    <n v="3"/>
    <n v="4"/>
    <n v="2"/>
    <x v="1"/>
    <x v="6"/>
  </r>
  <r>
    <x v="16"/>
    <x v="1"/>
    <x v="0"/>
    <n v="1282"/>
    <x v="1"/>
    <x v="12"/>
    <n v="3"/>
    <x v="1"/>
    <n v="1"/>
    <n v="32"/>
    <n v="3"/>
    <x v="0"/>
    <x v="22"/>
    <n v="3"/>
    <n v="5"/>
    <x v="5"/>
    <n v="3"/>
    <x v="2"/>
    <x v="25"/>
    <n v="10735"/>
    <n v="4"/>
    <s v="Y"/>
    <x v="1"/>
    <n v="11"/>
    <n v="3"/>
    <n v="4"/>
    <n v="80"/>
    <n v="1"/>
    <n v="26"/>
    <n v="3"/>
    <n v="2"/>
    <n v="14"/>
    <n v="13"/>
    <x v="5"/>
    <x v="5"/>
  </r>
  <r>
    <x v="5"/>
    <x v="0"/>
    <x v="1"/>
    <n v="1125"/>
    <x v="1"/>
    <x v="7"/>
    <n v="1"/>
    <x v="0"/>
    <n v="1"/>
    <n v="33"/>
    <n v="2"/>
    <x v="0"/>
    <x v="23"/>
    <n v="1"/>
    <n v="1"/>
    <x v="1"/>
    <n v="1"/>
    <x v="0"/>
    <x v="26"/>
    <n v="4681"/>
    <n v="1"/>
    <s v="Y"/>
    <x v="0"/>
    <n v="22"/>
    <n v="4"/>
    <n v="2"/>
    <n v="80"/>
    <n v="0"/>
    <n v="10"/>
    <n v="5"/>
    <n v="3"/>
    <n v="10"/>
    <n v="2"/>
    <x v="7"/>
    <x v="1"/>
  </r>
  <r>
    <x v="19"/>
    <x v="1"/>
    <x v="0"/>
    <n v="691"/>
    <x v="0"/>
    <x v="1"/>
    <n v="4"/>
    <x v="3"/>
    <n v="1"/>
    <n v="35"/>
    <n v="3"/>
    <x v="1"/>
    <x v="24"/>
    <n v="3"/>
    <n v="2"/>
    <x v="0"/>
    <n v="2"/>
    <x v="1"/>
    <x v="27"/>
    <n v="21173"/>
    <n v="0"/>
    <s v="Y"/>
    <x v="1"/>
    <n v="11"/>
    <n v="3"/>
    <n v="4"/>
    <n v="80"/>
    <n v="1"/>
    <n v="10"/>
    <n v="2"/>
    <n v="3"/>
    <n v="9"/>
    <n v="7"/>
    <x v="5"/>
    <x v="3"/>
  </r>
  <r>
    <x v="20"/>
    <x v="1"/>
    <x v="0"/>
    <n v="477"/>
    <x v="1"/>
    <x v="15"/>
    <n v="4"/>
    <x v="2"/>
    <n v="1"/>
    <n v="36"/>
    <n v="1"/>
    <x v="0"/>
    <x v="25"/>
    <n v="2"/>
    <n v="3"/>
    <x v="4"/>
    <n v="4"/>
    <x v="1"/>
    <x v="28"/>
    <n v="2094"/>
    <n v="3"/>
    <s v="Y"/>
    <x v="1"/>
    <n v="14"/>
    <n v="3"/>
    <n v="4"/>
    <n v="80"/>
    <n v="1"/>
    <n v="24"/>
    <n v="4"/>
    <n v="3"/>
    <n v="22"/>
    <n v="6"/>
    <x v="8"/>
    <x v="8"/>
  </r>
  <r>
    <x v="21"/>
    <x v="1"/>
    <x v="0"/>
    <n v="705"/>
    <x v="0"/>
    <x v="2"/>
    <n v="4"/>
    <x v="3"/>
    <n v="1"/>
    <n v="38"/>
    <n v="2"/>
    <x v="0"/>
    <x v="21"/>
    <n v="3"/>
    <n v="5"/>
    <x v="5"/>
    <n v="1"/>
    <x v="0"/>
    <x v="29"/>
    <n v="22822"/>
    <n v="3"/>
    <s v="Y"/>
    <x v="1"/>
    <n v="12"/>
    <n v="3"/>
    <n v="4"/>
    <n v="80"/>
    <n v="0"/>
    <n v="22"/>
    <n v="2"/>
    <n v="2"/>
    <n v="2"/>
    <n v="2"/>
    <x v="3"/>
    <x v="9"/>
  </r>
  <r>
    <x v="3"/>
    <x v="1"/>
    <x v="0"/>
    <n v="924"/>
    <x v="1"/>
    <x v="2"/>
    <n v="3"/>
    <x v="2"/>
    <n v="1"/>
    <n v="39"/>
    <n v="3"/>
    <x v="1"/>
    <x v="17"/>
    <n v="3"/>
    <n v="1"/>
    <x v="2"/>
    <n v="4"/>
    <x v="0"/>
    <x v="30"/>
    <n v="6670"/>
    <n v="4"/>
    <s v="Y"/>
    <x v="1"/>
    <n v="11"/>
    <n v="3"/>
    <n v="4"/>
    <n v="80"/>
    <n v="0"/>
    <n v="7"/>
    <n v="3"/>
    <n v="3"/>
    <n v="1"/>
    <n v="1"/>
    <x v="0"/>
    <x v="2"/>
  </r>
  <r>
    <x v="20"/>
    <x v="1"/>
    <x v="0"/>
    <n v="1459"/>
    <x v="1"/>
    <x v="17"/>
    <n v="4"/>
    <x v="1"/>
    <n v="1"/>
    <n v="40"/>
    <n v="4"/>
    <x v="1"/>
    <x v="26"/>
    <n v="3"/>
    <n v="2"/>
    <x v="4"/>
    <n v="4"/>
    <x v="1"/>
    <x v="31"/>
    <n v="19121"/>
    <n v="2"/>
    <s v="Y"/>
    <x v="0"/>
    <n v="13"/>
    <n v="3"/>
    <n v="4"/>
    <n v="80"/>
    <n v="0"/>
    <n v="9"/>
    <n v="5"/>
    <n v="4"/>
    <n v="4"/>
    <n v="2"/>
    <x v="1"/>
    <x v="6"/>
  </r>
  <r>
    <x v="7"/>
    <x v="1"/>
    <x v="0"/>
    <n v="125"/>
    <x v="1"/>
    <x v="14"/>
    <n v="2"/>
    <x v="2"/>
    <n v="1"/>
    <n v="41"/>
    <n v="4"/>
    <x v="1"/>
    <x v="21"/>
    <n v="2"/>
    <n v="1"/>
    <x v="2"/>
    <n v="3"/>
    <x v="0"/>
    <x v="32"/>
    <n v="16117"/>
    <n v="1"/>
    <s v="Y"/>
    <x v="1"/>
    <n v="13"/>
    <n v="3"/>
    <n v="1"/>
    <n v="80"/>
    <n v="0"/>
    <n v="10"/>
    <n v="5"/>
    <n v="3"/>
    <n v="10"/>
    <n v="0"/>
    <x v="1"/>
    <x v="5"/>
  </r>
  <r>
    <x v="22"/>
    <x v="0"/>
    <x v="0"/>
    <n v="895"/>
    <x v="0"/>
    <x v="12"/>
    <n v="3"/>
    <x v="4"/>
    <n v="1"/>
    <n v="42"/>
    <n v="4"/>
    <x v="1"/>
    <x v="3"/>
    <n v="3"/>
    <n v="2"/>
    <x v="6"/>
    <n v="4"/>
    <x v="1"/>
    <x v="33"/>
    <n v="3335"/>
    <n v="3"/>
    <s v="Y"/>
    <x v="1"/>
    <n v="14"/>
    <n v="3"/>
    <n v="3"/>
    <n v="80"/>
    <n v="1"/>
    <n v="19"/>
    <n v="6"/>
    <n v="4"/>
    <n v="1"/>
    <n v="0"/>
    <x v="0"/>
    <x v="2"/>
  </r>
  <r>
    <x v="17"/>
    <x v="0"/>
    <x v="0"/>
    <n v="813"/>
    <x v="1"/>
    <x v="0"/>
    <n v="3"/>
    <x v="2"/>
    <n v="1"/>
    <n v="45"/>
    <n v="2"/>
    <x v="1"/>
    <x v="1"/>
    <n v="3"/>
    <n v="1"/>
    <x v="1"/>
    <n v="4"/>
    <x v="1"/>
    <x v="34"/>
    <n v="3020"/>
    <n v="2"/>
    <s v="Y"/>
    <x v="0"/>
    <n v="16"/>
    <n v="3"/>
    <n v="1"/>
    <n v="80"/>
    <n v="1"/>
    <n v="6"/>
    <n v="2"/>
    <n v="2"/>
    <n v="2"/>
    <n v="0"/>
    <x v="3"/>
    <x v="2"/>
  </r>
  <r>
    <x v="23"/>
    <x v="1"/>
    <x v="0"/>
    <n v="1273"/>
    <x v="1"/>
    <x v="2"/>
    <n v="2"/>
    <x v="2"/>
    <n v="1"/>
    <n v="46"/>
    <n v="4"/>
    <x v="0"/>
    <x v="23"/>
    <n v="4"/>
    <n v="1"/>
    <x v="1"/>
    <n v="3"/>
    <x v="2"/>
    <x v="35"/>
    <n v="21923"/>
    <n v="1"/>
    <s v="Y"/>
    <x v="1"/>
    <n v="12"/>
    <n v="3"/>
    <n v="4"/>
    <n v="80"/>
    <n v="2"/>
    <n v="6"/>
    <n v="3"/>
    <n v="2"/>
    <n v="5"/>
    <n v="3"/>
    <x v="1"/>
    <x v="10"/>
  </r>
  <r>
    <x v="24"/>
    <x v="0"/>
    <x v="0"/>
    <n v="869"/>
    <x v="0"/>
    <x v="3"/>
    <n v="2"/>
    <x v="3"/>
    <n v="1"/>
    <n v="47"/>
    <n v="1"/>
    <x v="1"/>
    <x v="27"/>
    <n v="2"/>
    <n v="1"/>
    <x v="6"/>
    <n v="3"/>
    <x v="1"/>
    <x v="36"/>
    <n v="3810"/>
    <n v="1"/>
    <s v="Y"/>
    <x v="0"/>
    <n v="14"/>
    <n v="3"/>
    <n v="3"/>
    <n v="80"/>
    <n v="0"/>
    <n v="3"/>
    <n v="2"/>
    <n v="3"/>
    <n v="3"/>
    <n v="2"/>
    <x v="0"/>
    <x v="3"/>
  </r>
  <r>
    <x v="10"/>
    <x v="1"/>
    <x v="0"/>
    <n v="890"/>
    <x v="0"/>
    <x v="2"/>
    <n v="3"/>
    <x v="3"/>
    <n v="1"/>
    <n v="49"/>
    <n v="4"/>
    <x v="0"/>
    <x v="28"/>
    <n v="3"/>
    <n v="1"/>
    <x v="6"/>
    <n v="4"/>
    <x v="1"/>
    <x v="37"/>
    <n v="9687"/>
    <n v="1"/>
    <s v="Y"/>
    <x v="1"/>
    <n v="13"/>
    <n v="3"/>
    <n v="1"/>
    <n v="80"/>
    <n v="0"/>
    <n v="2"/>
    <n v="3"/>
    <n v="3"/>
    <n v="2"/>
    <n v="2"/>
    <x v="3"/>
    <x v="3"/>
  </r>
  <r>
    <x v="9"/>
    <x v="1"/>
    <x v="0"/>
    <n v="852"/>
    <x v="1"/>
    <x v="12"/>
    <n v="4"/>
    <x v="0"/>
    <n v="1"/>
    <n v="51"/>
    <n v="2"/>
    <x v="0"/>
    <x v="19"/>
    <n v="2"/>
    <n v="1"/>
    <x v="1"/>
    <n v="1"/>
    <x v="1"/>
    <x v="38"/>
    <n v="13072"/>
    <n v="9"/>
    <s v="Y"/>
    <x v="0"/>
    <n v="14"/>
    <n v="3"/>
    <n v="4"/>
    <n v="80"/>
    <n v="1"/>
    <n v="6"/>
    <n v="3"/>
    <n v="4"/>
    <n v="1"/>
    <n v="1"/>
    <x v="0"/>
    <x v="2"/>
  </r>
  <r>
    <x v="3"/>
    <x v="1"/>
    <x v="1"/>
    <n v="1141"/>
    <x v="0"/>
    <x v="0"/>
    <n v="3"/>
    <x v="0"/>
    <n v="1"/>
    <n v="52"/>
    <n v="3"/>
    <x v="0"/>
    <x v="25"/>
    <n v="4"/>
    <n v="2"/>
    <x v="0"/>
    <n v="1"/>
    <x v="1"/>
    <x v="39"/>
    <n v="3193"/>
    <n v="2"/>
    <s v="Y"/>
    <x v="1"/>
    <n v="19"/>
    <n v="3"/>
    <n v="1"/>
    <n v="80"/>
    <n v="2"/>
    <n v="10"/>
    <n v="3"/>
    <n v="3"/>
    <n v="5"/>
    <n v="3"/>
    <x v="1"/>
    <x v="6"/>
  </r>
  <r>
    <x v="10"/>
    <x v="1"/>
    <x v="0"/>
    <n v="464"/>
    <x v="1"/>
    <x v="18"/>
    <n v="2"/>
    <x v="1"/>
    <n v="1"/>
    <n v="53"/>
    <n v="3"/>
    <x v="1"/>
    <x v="29"/>
    <n v="3"/>
    <n v="1"/>
    <x v="2"/>
    <n v="4"/>
    <x v="2"/>
    <x v="40"/>
    <n v="10910"/>
    <n v="1"/>
    <s v="Y"/>
    <x v="1"/>
    <n v="12"/>
    <n v="3"/>
    <n v="3"/>
    <n v="80"/>
    <n v="1"/>
    <n v="1"/>
    <n v="3"/>
    <n v="3"/>
    <n v="1"/>
    <n v="0"/>
    <x v="0"/>
    <x v="2"/>
  </r>
  <r>
    <x v="4"/>
    <x v="1"/>
    <x v="0"/>
    <n v="1240"/>
    <x v="1"/>
    <x v="2"/>
    <n v="4"/>
    <x v="0"/>
    <n v="1"/>
    <n v="54"/>
    <n v="4"/>
    <x v="0"/>
    <x v="30"/>
    <n v="3"/>
    <n v="1"/>
    <x v="2"/>
    <n v="1"/>
    <x v="2"/>
    <x v="41"/>
    <n v="19715"/>
    <n v="1"/>
    <s v="Y"/>
    <x v="1"/>
    <n v="13"/>
    <n v="3"/>
    <n v="4"/>
    <n v="80"/>
    <n v="1"/>
    <n v="1"/>
    <n v="6"/>
    <n v="3"/>
    <n v="1"/>
    <n v="0"/>
    <x v="0"/>
    <x v="2"/>
  </r>
  <r>
    <x v="25"/>
    <x v="0"/>
    <x v="0"/>
    <n v="1357"/>
    <x v="1"/>
    <x v="19"/>
    <n v="3"/>
    <x v="0"/>
    <n v="1"/>
    <n v="55"/>
    <n v="1"/>
    <x v="1"/>
    <x v="24"/>
    <n v="1"/>
    <n v="1"/>
    <x v="2"/>
    <n v="3"/>
    <x v="0"/>
    <x v="34"/>
    <n v="10558"/>
    <n v="1"/>
    <s v="Y"/>
    <x v="1"/>
    <n v="12"/>
    <n v="3"/>
    <n v="3"/>
    <n v="80"/>
    <n v="0"/>
    <n v="1"/>
    <n v="2"/>
    <n v="2"/>
    <n v="1"/>
    <n v="0"/>
    <x v="0"/>
    <x v="9"/>
  </r>
  <r>
    <x v="4"/>
    <x v="1"/>
    <x v="1"/>
    <n v="994"/>
    <x v="0"/>
    <x v="1"/>
    <n v="3"/>
    <x v="0"/>
    <n v="1"/>
    <n v="56"/>
    <n v="4"/>
    <x v="1"/>
    <x v="31"/>
    <n v="3"/>
    <n v="3"/>
    <x v="0"/>
    <n v="3"/>
    <x v="0"/>
    <x v="42"/>
    <n v="2975"/>
    <n v="1"/>
    <s v="Y"/>
    <x v="1"/>
    <n v="15"/>
    <n v="3"/>
    <n v="4"/>
    <n v="80"/>
    <n v="0"/>
    <n v="9"/>
    <n v="0"/>
    <n v="3"/>
    <n v="9"/>
    <n v="8"/>
    <x v="1"/>
    <x v="1"/>
  </r>
  <r>
    <x v="7"/>
    <x v="1"/>
    <x v="1"/>
    <n v="721"/>
    <x v="1"/>
    <x v="0"/>
    <n v="2"/>
    <x v="2"/>
    <n v="1"/>
    <n v="57"/>
    <n v="3"/>
    <x v="0"/>
    <x v="22"/>
    <n v="3"/>
    <n v="2"/>
    <x v="2"/>
    <n v="4"/>
    <x v="0"/>
    <x v="20"/>
    <n v="10781"/>
    <n v="1"/>
    <s v="Y"/>
    <x v="1"/>
    <n v="23"/>
    <n v="4"/>
    <n v="4"/>
    <n v="80"/>
    <n v="0"/>
    <n v="12"/>
    <n v="2"/>
    <n v="3"/>
    <n v="12"/>
    <n v="8"/>
    <x v="2"/>
    <x v="1"/>
  </r>
  <r>
    <x v="0"/>
    <x v="0"/>
    <x v="0"/>
    <n v="1360"/>
    <x v="1"/>
    <x v="20"/>
    <n v="3"/>
    <x v="4"/>
    <n v="1"/>
    <n v="58"/>
    <n v="2"/>
    <x v="0"/>
    <x v="10"/>
    <n v="3"/>
    <n v="5"/>
    <x v="7"/>
    <n v="3"/>
    <x v="1"/>
    <x v="43"/>
    <n v="16280"/>
    <n v="1"/>
    <s v="Y"/>
    <x v="1"/>
    <n v="12"/>
    <n v="3"/>
    <n v="4"/>
    <n v="80"/>
    <n v="0"/>
    <n v="23"/>
    <n v="0"/>
    <n v="3"/>
    <n v="22"/>
    <n v="15"/>
    <x v="9"/>
    <x v="5"/>
  </r>
  <r>
    <x v="13"/>
    <x v="1"/>
    <x v="2"/>
    <n v="1065"/>
    <x v="0"/>
    <x v="5"/>
    <n v="4"/>
    <x v="3"/>
    <n v="1"/>
    <n v="60"/>
    <n v="2"/>
    <x v="1"/>
    <x v="23"/>
    <n v="3"/>
    <n v="2"/>
    <x v="0"/>
    <n v="3"/>
    <x v="0"/>
    <x v="44"/>
    <n v="10034"/>
    <n v="0"/>
    <s v="Y"/>
    <x v="1"/>
    <n v="20"/>
    <n v="4"/>
    <n v="3"/>
    <n v="80"/>
    <n v="0"/>
    <n v="10"/>
    <n v="2"/>
    <n v="3"/>
    <n v="9"/>
    <n v="5"/>
    <x v="6"/>
    <x v="1"/>
  </r>
  <r>
    <x v="2"/>
    <x v="1"/>
    <x v="0"/>
    <n v="408"/>
    <x v="1"/>
    <x v="10"/>
    <n v="2"/>
    <x v="0"/>
    <n v="1"/>
    <n v="61"/>
    <n v="2"/>
    <x v="1"/>
    <x v="32"/>
    <n v="3"/>
    <n v="1"/>
    <x v="1"/>
    <n v="2"/>
    <x v="1"/>
    <x v="45"/>
    <n v="10227"/>
    <n v="4"/>
    <s v="Y"/>
    <x v="1"/>
    <n v="21"/>
    <n v="4"/>
    <n v="1"/>
    <n v="80"/>
    <n v="0"/>
    <n v="8"/>
    <n v="1"/>
    <n v="3"/>
    <n v="1"/>
    <n v="0"/>
    <x v="0"/>
    <x v="2"/>
  </r>
  <r>
    <x v="21"/>
    <x v="1"/>
    <x v="1"/>
    <n v="1211"/>
    <x v="0"/>
    <x v="12"/>
    <n v="4"/>
    <x v="3"/>
    <n v="1"/>
    <n v="62"/>
    <n v="1"/>
    <x v="1"/>
    <x v="33"/>
    <n v="3"/>
    <n v="2"/>
    <x v="0"/>
    <n v="4"/>
    <x v="0"/>
    <x v="46"/>
    <n v="20445"/>
    <n v="4"/>
    <s v="Y"/>
    <x v="0"/>
    <n v="21"/>
    <n v="4"/>
    <n v="3"/>
    <n v="80"/>
    <n v="0"/>
    <n v="14"/>
    <n v="4"/>
    <n v="3"/>
    <n v="9"/>
    <n v="6"/>
    <x v="0"/>
    <x v="5"/>
  </r>
  <r>
    <x v="10"/>
    <x v="1"/>
    <x v="0"/>
    <n v="1229"/>
    <x v="1"/>
    <x v="1"/>
    <n v="1"/>
    <x v="0"/>
    <n v="1"/>
    <n v="63"/>
    <n v="4"/>
    <x v="1"/>
    <x v="34"/>
    <n v="4"/>
    <n v="1"/>
    <x v="2"/>
    <n v="4"/>
    <x v="1"/>
    <x v="47"/>
    <n v="4892"/>
    <n v="1"/>
    <s v="Y"/>
    <x v="1"/>
    <n v="19"/>
    <n v="3"/>
    <n v="4"/>
    <n v="80"/>
    <n v="0"/>
    <n v="1"/>
    <n v="2"/>
    <n v="3"/>
    <n v="1"/>
    <n v="0"/>
    <x v="0"/>
    <x v="9"/>
  </r>
  <r>
    <x v="26"/>
    <x v="0"/>
    <x v="0"/>
    <n v="626"/>
    <x v="1"/>
    <x v="0"/>
    <n v="2"/>
    <x v="0"/>
    <n v="1"/>
    <n v="64"/>
    <n v="1"/>
    <x v="1"/>
    <x v="33"/>
    <n v="2"/>
    <n v="3"/>
    <x v="2"/>
    <n v="3"/>
    <x v="0"/>
    <x v="48"/>
    <n v="19294"/>
    <n v="9"/>
    <s v="Y"/>
    <x v="0"/>
    <n v="13"/>
    <n v="3"/>
    <n v="4"/>
    <n v="80"/>
    <n v="0"/>
    <n v="23"/>
    <n v="2"/>
    <n v="3"/>
    <n v="1"/>
    <n v="0"/>
    <x v="0"/>
    <x v="2"/>
  </r>
  <r>
    <x v="14"/>
    <x v="0"/>
    <x v="0"/>
    <n v="1434"/>
    <x v="1"/>
    <x v="12"/>
    <n v="4"/>
    <x v="4"/>
    <n v="1"/>
    <n v="65"/>
    <n v="3"/>
    <x v="1"/>
    <x v="13"/>
    <n v="3"/>
    <n v="1"/>
    <x v="2"/>
    <n v="3"/>
    <x v="0"/>
    <x v="49"/>
    <n v="11179"/>
    <n v="1"/>
    <s v="Y"/>
    <x v="0"/>
    <n v="13"/>
    <n v="3"/>
    <n v="3"/>
    <n v="80"/>
    <n v="0"/>
    <n v="2"/>
    <n v="3"/>
    <n v="2"/>
    <n v="2"/>
    <n v="2"/>
    <x v="3"/>
    <x v="3"/>
  </r>
  <r>
    <x v="20"/>
    <x v="1"/>
    <x v="0"/>
    <n v="1488"/>
    <x v="0"/>
    <x v="0"/>
    <n v="5"/>
    <x v="3"/>
    <n v="1"/>
    <n v="68"/>
    <n v="2"/>
    <x v="0"/>
    <x v="29"/>
    <n v="3"/>
    <n v="2"/>
    <x v="0"/>
    <n v="1"/>
    <x v="2"/>
    <x v="50"/>
    <n v="4009"/>
    <n v="5"/>
    <s v="Y"/>
    <x v="0"/>
    <n v="21"/>
    <n v="4"/>
    <n v="3"/>
    <n v="80"/>
    <n v="1"/>
    <n v="9"/>
    <n v="2"/>
    <n v="2"/>
    <n v="4"/>
    <n v="3"/>
    <x v="1"/>
    <x v="6"/>
  </r>
  <r>
    <x v="10"/>
    <x v="1"/>
    <x v="2"/>
    <n v="1097"/>
    <x v="1"/>
    <x v="13"/>
    <n v="2"/>
    <x v="2"/>
    <n v="1"/>
    <n v="70"/>
    <n v="3"/>
    <x v="1"/>
    <x v="5"/>
    <n v="2"/>
    <n v="3"/>
    <x v="4"/>
    <n v="1"/>
    <x v="1"/>
    <x v="51"/>
    <n v="8302"/>
    <n v="2"/>
    <s v="Y"/>
    <x v="0"/>
    <n v="13"/>
    <n v="3"/>
    <n v="3"/>
    <n v="80"/>
    <n v="1"/>
    <n v="10"/>
    <n v="3"/>
    <n v="3"/>
    <n v="4"/>
    <n v="0"/>
    <x v="3"/>
    <x v="6"/>
  </r>
  <r>
    <x v="25"/>
    <x v="1"/>
    <x v="0"/>
    <n v="1443"/>
    <x v="0"/>
    <x v="5"/>
    <n v="3"/>
    <x v="3"/>
    <n v="1"/>
    <n v="72"/>
    <n v="3"/>
    <x v="0"/>
    <x v="35"/>
    <n v="2"/>
    <n v="2"/>
    <x v="0"/>
    <n v="4"/>
    <x v="1"/>
    <x v="52"/>
    <n v="21436"/>
    <n v="7"/>
    <s v="Y"/>
    <x v="0"/>
    <n v="19"/>
    <n v="3"/>
    <n v="3"/>
    <n v="80"/>
    <n v="1"/>
    <n v="5"/>
    <n v="2"/>
    <n v="2"/>
    <n v="2"/>
    <n v="2"/>
    <x v="0"/>
    <x v="2"/>
  </r>
  <r>
    <x v="3"/>
    <x v="1"/>
    <x v="1"/>
    <n v="515"/>
    <x v="1"/>
    <x v="0"/>
    <n v="2"/>
    <x v="0"/>
    <n v="1"/>
    <n v="73"/>
    <n v="1"/>
    <x v="0"/>
    <x v="33"/>
    <n v="3"/>
    <n v="3"/>
    <x v="7"/>
    <n v="4"/>
    <x v="0"/>
    <x v="53"/>
    <n v="15146"/>
    <n v="1"/>
    <s v="Y"/>
    <x v="0"/>
    <n v="12"/>
    <n v="3"/>
    <n v="3"/>
    <n v="80"/>
    <n v="0"/>
    <n v="15"/>
    <n v="1"/>
    <n v="3"/>
    <n v="15"/>
    <n v="14"/>
    <x v="6"/>
    <x v="11"/>
  </r>
  <r>
    <x v="10"/>
    <x v="1"/>
    <x v="1"/>
    <n v="853"/>
    <x v="0"/>
    <x v="21"/>
    <n v="5"/>
    <x v="0"/>
    <n v="1"/>
    <n v="74"/>
    <n v="2"/>
    <x v="1"/>
    <x v="36"/>
    <n v="3"/>
    <n v="3"/>
    <x v="0"/>
    <n v="1"/>
    <x v="1"/>
    <x v="54"/>
    <n v="11031"/>
    <n v="1"/>
    <s v="Y"/>
    <x v="1"/>
    <n v="22"/>
    <n v="4"/>
    <n v="4"/>
    <n v="80"/>
    <n v="1"/>
    <n v="9"/>
    <n v="3"/>
    <n v="2"/>
    <n v="9"/>
    <n v="8"/>
    <x v="1"/>
    <x v="5"/>
  </r>
  <r>
    <x v="10"/>
    <x v="1"/>
    <x v="0"/>
    <n v="1142"/>
    <x v="1"/>
    <x v="5"/>
    <n v="4"/>
    <x v="2"/>
    <n v="1"/>
    <n v="75"/>
    <n v="3"/>
    <x v="0"/>
    <x v="37"/>
    <n v="3"/>
    <n v="1"/>
    <x v="2"/>
    <n v="1"/>
    <x v="1"/>
    <x v="55"/>
    <n v="16002"/>
    <n v="3"/>
    <s v="Y"/>
    <x v="0"/>
    <n v="15"/>
    <n v="3"/>
    <n v="3"/>
    <n v="80"/>
    <n v="1"/>
    <n v="4"/>
    <n v="3"/>
    <n v="3"/>
    <n v="2"/>
    <n v="2"/>
    <x v="3"/>
    <x v="3"/>
  </r>
  <r>
    <x v="12"/>
    <x v="1"/>
    <x v="0"/>
    <n v="655"/>
    <x v="1"/>
    <x v="15"/>
    <n v="4"/>
    <x v="0"/>
    <n v="1"/>
    <n v="76"/>
    <n v="4"/>
    <x v="1"/>
    <x v="24"/>
    <n v="3"/>
    <n v="2"/>
    <x v="2"/>
    <n v="4"/>
    <x v="2"/>
    <x v="56"/>
    <n v="9528"/>
    <n v="3"/>
    <s v="Y"/>
    <x v="1"/>
    <n v="22"/>
    <n v="4"/>
    <n v="4"/>
    <n v="80"/>
    <n v="1"/>
    <n v="10"/>
    <n v="3"/>
    <n v="2"/>
    <n v="7"/>
    <n v="7"/>
    <x v="1"/>
    <x v="1"/>
  </r>
  <r>
    <x v="2"/>
    <x v="1"/>
    <x v="0"/>
    <n v="1115"/>
    <x v="1"/>
    <x v="0"/>
    <n v="4"/>
    <x v="0"/>
    <n v="1"/>
    <n v="77"/>
    <n v="1"/>
    <x v="1"/>
    <x v="14"/>
    <n v="2"/>
    <n v="2"/>
    <x v="3"/>
    <n v="3"/>
    <x v="2"/>
    <x v="0"/>
    <n v="2689"/>
    <n v="1"/>
    <s v="Y"/>
    <x v="1"/>
    <n v="18"/>
    <n v="3"/>
    <n v="3"/>
    <n v="80"/>
    <n v="1"/>
    <n v="7"/>
    <n v="2"/>
    <n v="4"/>
    <n v="7"/>
    <n v="5"/>
    <x v="0"/>
    <x v="1"/>
  </r>
  <r>
    <x v="5"/>
    <x v="1"/>
    <x v="0"/>
    <n v="427"/>
    <x v="1"/>
    <x v="0"/>
    <n v="3"/>
    <x v="2"/>
    <n v="1"/>
    <n v="78"/>
    <n v="1"/>
    <x v="1"/>
    <x v="30"/>
    <n v="3"/>
    <n v="2"/>
    <x v="3"/>
    <n v="4"/>
    <x v="1"/>
    <x v="57"/>
    <n v="10877"/>
    <n v="1"/>
    <s v="Y"/>
    <x v="0"/>
    <n v="22"/>
    <n v="4"/>
    <n v="2"/>
    <n v="80"/>
    <n v="1"/>
    <n v="9"/>
    <n v="3"/>
    <n v="3"/>
    <n v="9"/>
    <n v="8"/>
    <x v="4"/>
    <x v="5"/>
  </r>
  <r>
    <x v="8"/>
    <x v="1"/>
    <x v="1"/>
    <n v="653"/>
    <x v="1"/>
    <x v="22"/>
    <n v="5"/>
    <x v="0"/>
    <n v="1"/>
    <n v="79"/>
    <n v="4"/>
    <x v="0"/>
    <x v="13"/>
    <n v="3"/>
    <n v="2"/>
    <x v="2"/>
    <n v="4"/>
    <x v="0"/>
    <x v="58"/>
    <n v="5456"/>
    <n v="1"/>
    <s v="Y"/>
    <x v="1"/>
    <n v="11"/>
    <n v="3"/>
    <n v="4"/>
    <n v="80"/>
    <n v="0"/>
    <n v="10"/>
    <n v="2"/>
    <n v="3"/>
    <n v="10"/>
    <n v="3"/>
    <x v="10"/>
    <x v="12"/>
  </r>
  <r>
    <x v="24"/>
    <x v="1"/>
    <x v="0"/>
    <n v="989"/>
    <x v="1"/>
    <x v="15"/>
    <n v="2"/>
    <x v="2"/>
    <n v="1"/>
    <n v="80"/>
    <n v="2"/>
    <x v="0"/>
    <x v="38"/>
    <n v="2"/>
    <n v="5"/>
    <x v="7"/>
    <n v="3"/>
    <x v="2"/>
    <x v="59"/>
    <n v="16701"/>
    <n v="5"/>
    <s v="Y"/>
    <x v="0"/>
    <n v="12"/>
    <n v="3"/>
    <n v="4"/>
    <n v="80"/>
    <n v="1"/>
    <n v="29"/>
    <n v="2"/>
    <n v="2"/>
    <n v="27"/>
    <n v="3"/>
    <x v="11"/>
    <x v="5"/>
  </r>
  <r>
    <x v="6"/>
    <x v="1"/>
    <x v="0"/>
    <n v="1435"/>
    <x v="0"/>
    <x v="19"/>
    <n v="3"/>
    <x v="0"/>
    <n v="1"/>
    <n v="81"/>
    <n v="1"/>
    <x v="0"/>
    <x v="39"/>
    <n v="3"/>
    <n v="3"/>
    <x v="0"/>
    <n v="1"/>
    <x v="0"/>
    <x v="60"/>
    <n v="2354"/>
    <n v="7"/>
    <s v="Y"/>
    <x v="1"/>
    <n v="11"/>
    <n v="3"/>
    <n v="4"/>
    <n v="80"/>
    <n v="0"/>
    <n v="28"/>
    <n v="3"/>
    <n v="2"/>
    <n v="21"/>
    <n v="16"/>
    <x v="4"/>
    <x v="12"/>
  </r>
  <r>
    <x v="9"/>
    <x v="1"/>
    <x v="0"/>
    <n v="1223"/>
    <x v="1"/>
    <x v="1"/>
    <n v="3"/>
    <x v="4"/>
    <n v="1"/>
    <n v="83"/>
    <n v="3"/>
    <x v="0"/>
    <x v="40"/>
    <n v="3"/>
    <n v="3"/>
    <x v="4"/>
    <n v="3"/>
    <x v="2"/>
    <x v="61"/>
    <n v="8202"/>
    <n v="1"/>
    <s v="Y"/>
    <x v="1"/>
    <n v="13"/>
    <n v="3"/>
    <n v="2"/>
    <n v="80"/>
    <n v="3"/>
    <n v="17"/>
    <n v="2"/>
    <n v="3"/>
    <n v="17"/>
    <n v="14"/>
    <x v="12"/>
    <x v="5"/>
  </r>
  <r>
    <x v="27"/>
    <x v="1"/>
    <x v="0"/>
    <n v="836"/>
    <x v="1"/>
    <x v="1"/>
    <n v="3"/>
    <x v="2"/>
    <n v="1"/>
    <n v="84"/>
    <n v="4"/>
    <x v="0"/>
    <x v="30"/>
    <n v="3"/>
    <n v="4"/>
    <x v="5"/>
    <n v="3"/>
    <x v="2"/>
    <x v="62"/>
    <n v="19730"/>
    <n v="2"/>
    <s v="Y"/>
    <x v="0"/>
    <n v="14"/>
    <n v="3"/>
    <n v="3"/>
    <n v="80"/>
    <n v="3"/>
    <n v="21"/>
    <n v="2"/>
    <n v="3"/>
    <n v="5"/>
    <n v="0"/>
    <x v="0"/>
    <x v="3"/>
  </r>
  <r>
    <x v="9"/>
    <x v="1"/>
    <x v="1"/>
    <n v="1195"/>
    <x v="1"/>
    <x v="13"/>
    <n v="3"/>
    <x v="0"/>
    <n v="1"/>
    <n v="85"/>
    <n v="2"/>
    <x v="1"/>
    <x v="41"/>
    <n v="2"/>
    <n v="2"/>
    <x v="3"/>
    <n v="2"/>
    <x v="0"/>
    <x v="63"/>
    <n v="22656"/>
    <n v="1"/>
    <s v="Y"/>
    <x v="1"/>
    <n v="13"/>
    <n v="3"/>
    <n v="3"/>
    <n v="80"/>
    <n v="0"/>
    <n v="6"/>
    <n v="3"/>
    <n v="3"/>
    <n v="6"/>
    <n v="5"/>
    <x v="0"/>
    <x v="6"/>
  </r>
  <r>
    <x v="28"/>
    <x v="1"/>
    <x v="0"/>
    <n v="1339"/>
    <x v="1"/>
    <x v="15"/>
    <n v="3"/>
    <x v="0"/>
    <n v="1"/>
    <n v="86"/>
    <n v="2"/>
    <x v="1"/>
    <x v="40"/>
    <n v="3"/>
    <n v="3"/>
    <x v="1"/>
    <n v="1"/>
    <x v="2"/>
    <x v="64"/>
    <n v="18787"/>
    <n v="2"/>
    <s v="Y"/>
    <x v="1"/>
    <n v="17"/>
    <n v="3"/>
    <n v="3"/>
    <n v="80"/>
    <n v="1"/>
    <n v="25"/>
    <n v="2"/>
    <n v="3"/>
    <n v="1"/>
    <n v="0"/>
    <x v="0"/>
    <x v="2"/>
  </r>
  <r>
    <x v="10"/>
    <x v="1"/>
    <x v="1"/>
    <n v="664"/>
    <x v="1"/>
    <x v="0"/>
    <n v="3"/>
    <x v="2"/>
    <n v="1"/>
    <n v="88"/>
    <n v="2"/>
    <x v="1"/>
    <x v="5"/>
    <n v="3"/>
    <n v="1"/>
    <x v="1"/>
    <n v="1"/>
    <x v="1"/>
    <x v="65"/>
    <n v="5868"/>
    <n v="4"/>
    <s v="Y"/>
    <x v="1"/>
    <n v="13"/>
    <n v="3"/>
    <n v="4"/>
    <n v="80"/>
    <n v="1"/>
    <n v="5"/>
    <n v="2"/>
    <n v="2"/>
    <n v="3"/>
    <n v="2"/>
    <x v="1"/>
    <x v="3"/>
  </r>
  <r>
    <x v="9"/>
    <x v="0"/>
    <x v="0"/>
    <n v="318"/>
    <x v="1"/>
    <x v="14"/>
    <n v="3"/>
    <x v="2"/>
    <n v="1"/>
    <n v="90"/>
    <n v="4"/>
    <x v="1"/>
    <x v="5"/>
    <n v="2"/>
    <n v="1"/>
    <x v="1"/>
    <n v="3"/>
    <x v="1"/>
    <x v="66"/>
    <n v="21777"/>
    <n v="0"/>
    <s v="Y"/>
    <x v="0"/>
    <n v="17"/>
    <n v="3"/>
    <n v="1"/>
    <n v="80"/>
    <n v="1"/>
    <n v="2"/>
    <n v="0"/>
    <n v="2"/>
    <n v="1"/>
    <n v="0"/>
    <x v="0"/>
    <x v="2"/>
  </r>
  <r>
    <x v="6"/>
    <x v="1"/>
    <x v="1"/>
    <n v="1225"/>
    <x v="0"/>
    <x v="0"/>
    <n v="1"/>
    <x v="0"/>
    <n v="1"/>
    <n v="91"/>
    <n v="1"/>
    <x v="0"/>
    <x v="42"/>
    <n v="2"/>
    <n v="2"/>
    <x v="0"/>
    <n v="3"/>
    <x v="0"/>
    <x v="67"/>
    <n v="24668"/>
    <n v="7"/>
    <s v="Y"/>
    <x v="1"/>
    <n v="11"/>
    <n v="3"/>
    <n v="4"/>
    <n v="80"/>
    <n v="0"/>
    <n v="20"/>
    <n v="2"/>
    <n v="2"/>
    <n v="4"/>
    <n v="3"/>
    <x v="1"/>
    <x v="6"/>
  </r>
  <r>
    <x v="11"/>
    <x v="1"/>
    <x v="0"/>
    <n v="1328"/>
    <x v="1"/>
    <x v="2"/>
    <n v="3"/>
    <x v="0"/>
    <n v="1"/>
    <n v="94"/>
    <n v="3"/>
    <x v="1"/>
    <x v="43"/>
    <n v="3"/>
    <n v="1"/>
    <x v="1"/>
    <n v="2"/>
    <x v="1"/>
    <x v="68"/>
    <n v="4956"/>
    <n v="0"/>
    <s v="Y"/>
    <x v="1"/>
    <n v="23"/>
    <n v="4"/>
    <n v="4"/>
    <n v="80"/>
    <n v="1"/>
    <n v="6"/>
    <n v="3"/>
    <n v="3"/>
    <n v="5"/>
    <n v="4"/>
    <x v="0"/>
    <x v="10"/>
  </r>
  <r>
    <x v="12"/>
    <x v="1"/>
    <x v="0"/>
    <n v="1082"/>
    <x v="1"/>
    <x v="0"/>
    <n v="4"/>
    <x v="2"/>
    <n v="1"/>
    <n v="95"/>
    <n v="3"/>
    <x v="1"/>
    <x v="44"/>
    <n v="3"/>
    <n v="1"/>
    <x v="1"/>
    <n v="2"/>
    <x v="0"/>
    <x v="69"/>
    <n v="18775"/>
    <n v="1"/>
    <s v="Y"/>
    <x v="1"/>
    <n v="17"/>
    <n v="3"/>
    <n v="2"/>
    <n v="80"/>
    <n v="0"/>
    <n v="1"/>
    <n v="4"/>
    <n v="3"/>
    <n v="1"/>
    <n v="1"/>
    <x v="1"/>
    <x v="2"/>
  </r>
  <r>
    <x v="5"/>
    <x v="1"/>
    <x v="0"/>
    <n v="548"/>
    <x v="1"/>
    <x v="0"/>
    <n v="3"/>
    <x v="0"/>
    <n v="1"/>
    <n v="96"/>
    <n v="2"/>
    <x v="1"/>
    <x v="45"/>
    <n v="3"/>
    <n v="2"/>
    <x v="1"/>
    <n v="2"/>
    <x v="1"/>
    <x v="70"/>
    <n v="7346"/>
    <n v="1"/>
    <s v="Y"/>
    <x v="1"/>
    <n v="17"/>
    <n v="3"/>
    <n v="2"/>
    <n v="80"/>
    <n v="2"/>
    <n v="10"/>
    <n v="3"/>
    <n v="3"/>
    <n v="10"/>
    <n v="4"/>
    <x v="0"/>
    <x v="12"/>
  </r>
  <r>
    <x v="9"/>
    <x v="1"/>
    <x v="0"/>
    <n v="132"/>
    <x v="1"/>
    <x v="16"/>
    <n v="3"/>
    <x v="0"/>
    <n v="1"/>
    <n v="97"/>
    <n v="2"/>
    <x v="0"/>
    <x v="46"/>
    <n v="4"/>
    <n v="1"/>
    <x v="2"/>
    <n v="4"/>
    <x v="1"/>
    <x v="71"/>
    <n v="22002"/>
    <n v="3"/>
    <s v="Y"/>
    <x v="1"/>
    <n v="12"/>
    <n v="3"/>
    <n v="2"/>
    <n v="80"/>
    <n v="0"/>
    <n v="5"/>
    <n v="3"/>
    <n v="3"/>
    <n v="1"/>
    <n v="0"/>
    <x v="0"/>
    <x v="2"/>
  </r>
  <r>
    <x v="12"/>
    <x v="1"/>
    <x v="0"/>
    <n v="746"/>
    <x v="1"/>
    <x v="1"/>
    <n v="4"/>
    <x v="0"/>
    <n v="1"/>
    <n v="98"/>
    <n v="3"/>
    <x v="0"/>
    <x v="1"/>
    <n v="3"/>
    <n v="2"/>
    <x v="3"/>
    <n v="4"/>
    <x v="0"/>
    <x v="72"/>
    <n v="20682"/>
    <n v="1"/>
    <s v="Y"/>
    <x v="1"/>
    <n v="23"/>
    <n v="4"/>
    <n v="4"/>
    <n v="80"/>
    <n v="0"/>
    <n v="11"/>
    <n v="2"/>
    <n v="3"/>
    <n v="11"/>
    <n v="7"/>
    <x v="1"/>
    <x v="5"/>
  </r>
  <r>
    <x v="10"/>
    <x v="1"/>
    <x v="0"/>
    <n v="776"/>
    <x v="0"/>
    <x v="0"/>
    <n v="4"/>
    <x v="3"/>
    <n v="1"/>
    <n v="100"/>
    <n v="3"/>
    <x v="1"/>
    <x v="47"/>
    <n v="2"/>
    <n v="2"/>
    <x v="0"/>
    <n v="1"/>
    <x v="0"/>
    <x v="73"/>
    <n v="23016"/>
    <n v="0"/>
    <s v="Y"/>
    <x v="1"/>
    <n v="14"/>
    <n v="3"/>
    <n v="2"/>
    <n v="80"/>
    <n v="0"/>
    <n v="16"/>
    <n v="2"/>
    <n v="3"/>
    <n v="15"/>
    <n v="13"/>
    <x v="3"/>
    <x v="5"/>
  </r>
  <r>
    <x v="28"/>
    <x v="1"/>
    <x v="0"/>
    <n v="193"/>
    <x v="1"/>
    <x v="16"/>
    <n v="4"/>
    <x v="1"/>
    <n v="1"/>
    <n v="101"/>
    <n v="4"/>
    <x v="1"/>
    <x v="48"/>
    <n v="3"/>
    <n v="3"/>
    <x v="7"/>
    <n v="1"/>
    <x v="1"/>
    <x v="74"/>
    <n v="15067"/>
    <n v="4"/>
    <s v="Y"/>
    <x v="0"/>
    <n v="14"/>
    <n v="3"/>
    <n v="2"/>
    <n v="80"/>
    <n v="0"/>
    <n v="17"/>
    <n v="3"/>
    <n v="4"/>
    <n v="0"/>
    <n v="0"/>
    <x v="0"/>
    <x v="2"/>
  </r>
  <r>
    <x v="2"/>
    <x v="1"/>
    <x v="0"/>
    <n v="397"/>
    <x v="1"/>
    <x v="15"/>
    <n v="4"/>
    <x v="2"/>
    <n v="1"/>
    <n v="102"/>
    <n v="1"/>
    <x v="1"/>
    <x v="37"/>
    <n v="3"/>
    <n v="3"/>
    <x v="7"/>
    <n v="3"/>
    <x v="0"/>
    <x v="75"/>
    <n v="25258"/>
    <n v="4"/>
    <s v="Y"/>
    <x v="1"/>
    <n v="13"/>
    <n v="3"/>
    <n v="1"/>
    <n v="80"/>
    <n v="0"/>
    <n v="16"/>
    <n v="3"/>
    <n v="4"/>
    <n v="5"/>
    <n v="2"/>
    <x v="0"/>
    <x v="3"/>
  </r>
  <r>
    <x v="21"/>
    <x v="1"/>
    <x v="0"/>
    <n v="945"/>
    <x v="2"/>
    <x v="12"/>
    <n v="2"/>
    <x v="2"/>
    <n v="1"/>
    <n v="103"/>
    <n v="2"/>
    <x v="1"/>
    <x v="15"/>
    <n v="3"/>
    <n v="2"/>
    <x v="8"/>
    <n v="2"/>
    <x v="2"/>
    <x v="76"/>
    <n v="10425"/>
    <n v="8"/>
    <s v="Y"/>
    <x v="0"/>
    <n v="22"/>
    <n v="4"/>
    <n v="4"/>
    <n v="80"/>
    <n v="1"/>
    <n v="16"/>
    <n v="2"/>
    <n v="3"/>
    <n v="4"/>
    <n v="2"/>
    <x v="0"/>
    <x v="3"/>
  </r>
  <r>
    <x v="7"/>
    <x v="1"/>
    <x v="0"/>
    <n v="852"/>
    <x v="1"/>
    <x v="0"/>
    <n v="1"/>
    <x v="0"/>
    <n v="1"/>
    <n v="104"/>
    <n v="4"/>
    <x v="1"/>
    <x v="46"/>
    <n v="2"/>
    <n v="2"/>
    <x v="2"/>
    <n v="4"/>
    <x v="1"/>
    <x v="77"/>
    <n v="15998"/>
    <n v="1"/>
    <s v="Y"/>
    <x v="0"/>
    <n v="12"/>
    <n v="3"/>
    <n v="3"/>
    <n v="80"/>
    <n v="2"/>
    <n v="10"/>
    <n v="1"/>
    <n v="2"/>
    <n v="10"/>
    <n v="8"/>
    <x v="2"/>
    <x v="2"/>
  </r>
  <r>
    <x v="10"/>
    <x v="1"/>
    <x v="0"/>
    <n v="1214"/>
    <x v="1"/>
    <x v="0"/>
    <n v="3"/>
    <x v="2"/>
    <n v="1"/>
    <n v="105"/>
    <n v="2"/>
    <x v="1"/>
    <x v="37"/>
    <n v="2"/>
    <n v="1"/>
    <x v="1"/>
    <n v="3"/>
    <x v="0"/>
    <x v="78"/>
    <n v="26278"/>
    <n v="1"/>
    <s v="Y"/>
    <x v="1"/>
    <n v="18"/>
    <n v="3"/>
    <n v="1"/>
    <n v="80"/>
    <n v="0"/>
    <n v="6"/>
    <n v="3"/>
    <n v="3"/>
    <n v="6"/>
    <n v="4"/>
    <x v="0"/>
    <x v="10"/>
  </r>
  <r>
    <x v="27"/>
    <x v="1"/>
    <x v="0"/>
    <n v="111"/>
    <x v="0"/>
    <x v="0"/>
    <n v="2"/>
    <x v="0"/>
    <n v="1"/>
    <n v="106"/>
    <n v="1"/>
    <x v="1"/>
    <x v="49"/>
    <n v="3"/>
    <n v="3"/>
    <x v="0"/>
    <n v="4"/>
    <x v="1"/>
    <x v="79"/>
    <n v="18092"/>
    <n v="3"/>
    <s v="Y"/>
    <x v="1"/>
    <n v="14"/>
    <n v="3"/>
    <n v="4"/>
    <n v="80"/>
    <n v="1"/>
    <n v="24"/>
    <n v="4"/>
    <n v="3"/>
    <n v="1"/>
    <n v="0"/>
    <x v="1"/>
    <x v="2"/>
  </r>
  <r>
    <x v="8"/>
    <x v="1"/>
    <x v="2"/>
    <n v="573"/>
    <x v="1"/>
    <x v="16"/>
    <n v="3"/>
    <x v="2"/>
    <n v="1"/>
    <n v="107"/>
    <n v="2"/>
    <x v="0"/>
    <x v="5"/>
    <n v="1"/>
    <n v="2"/>
    <x v="1"/>
    <n v="4"/>
    <x v="2"/>
    <x v="80"/>
    <n v="15717"/>
    <n v="7"/>
    <s v="Y"/>
    <x v="0"/>
    <n v="12"/>
    <n v="3"/>
    <n v="4"/>
    <n v="80"/>
    <n v="3"/>
    <n v="17"/>
    <n v="3"/>
    <n v="3"/>
    <n v="13"/>
    <n v="11"/>
    <x v="1"/>
    <x v="12"/>
  </r>
  <r>
    <x v="13"/>
    <x v="1"/>
    <x v="0"/>
    <n v="1153"/>
    <x v="1"/>
    <x v="0"/>
    <n v="2"/>
    <x v="2"/>
    <n v="1"/>
    <n v="110"/>
    <n v="1"/>
    <x v="1"/>
    <x v="0"/>
    <n v="3"/>
    <n v="2"/>
    <x v="3"/>
    <n v="2"/>
    <x v="1"/>
    <x v="81"/>
    <n v="17736"/>
    <n v="1"/>
    <s v="Y"/>
    <x v="1"/>
    <n v="15"/>
    <n v="3"/>
    <n v="3"/>
    <n v="80"/>
    <n v="0"/>
    <n v="5"/>
    <n v="2"/>
    <n v="3"/>
    <n v="5"/>
    <n v="2"/>
    <x v="1"/>
    <x v="6"/>
  </r>
  <r>
    <x v="29"/>
    <x v="1"/>
    <x v="0"/>
    <n v="1400"/>
    <x v="1"/>
    <x v="15"/>
    <n v="3"/>
    <x v="0"/>
    <n v="1"/>
    <n v="112"/>
    <n v="4"/>
    <x v="1"/>
    <x v="10"/>
    <n v="1"/>
    <n v="3"/>
    <x v="3"/>
    <n v="4"/>
    <x v="0"/>
    <x v="82"/>
    <n v="21698"/>
    <n v="4"/>
    <s v="Y"/>
    <x v="1"/>
    <n v="11"/>
    <n v="3"/>
    <n v="1"/>
    <n v="80"/>
    <n v="0"/>
    <n v="37"/>
    <n v="3"/>
    <n v="2"/>
    <n v="6"/>
    <n v="4"/>
    <x v="0"/>
    <x v="3"/>
  </r>
  <r>
    <x v="30"/>
    <x v="1"/>
    <x v="0"/>
    <n v="541"/>
    <x v="0"/>
    <x v="2"/>
    <n v="1"/>
    <x v="4"/>
    <n v="1"/>
    <n v="113"/>
    <n v="3"/>
    <x v="1"/>
    <x v="50"/>
    <n v="3"/>
    <n v="1"/>
    <x v="6"/>
    <n v="1"/>
    <x v="2"/>
    <x v="83"/>
    <n v="9518"/>
    <n v="3"/>
    <s v="Y"/>
    <x v="1"/>
    <n v="13"/>
    <n v="3"/>
    <n v="3"/>
    <n v="80"/>
    <n v="1"/>
    <n v="3"/>
    <n v="3"/>
    <n v="3"/>
    <n v="0"/>
    <n v="0"/>
    <x v="0"/>
    <x v="2"/>
  </r>
  <r>
    <x v="31"/>
    <x v="1"/>
    <x v="0"/>
    <n v="432"/>
    <x v="1"/>
    <x v="14"/>
    <n v="4"/>
    <x v="0"/>
    <n v="1"/>
    <n v="116"/>
    <n v="4"/>
    <x v="1"/>
    <x v="16"/>
    <n v="3"/>
    <n v="1"/>
    <x v="2"/>
    <n v="4"/>
    <x v="1"/>
    <x v="84"/>
    <n v="18725"/>
    <n v="3"/>
    <s v="Y"/>
    <x v="1"/>
    <n v="23"/>
    <n v="4"/>
    <n v="2"/>
    <n v="80"/>
    <n v="2"/>
    <n v="10"/>
    <n v="4"/>
    <n v="3"/>
    <n v="4"/>
    <n v="2"/>
    <x v="0"/>
    <x v="6"/>
  </r>
  <r>
    <x v="7"/>
    <x v="1"/>
    <x v="0"/>
    <n v="288"/>
    <x v="1"/>
    <x v="2"/>
    <n v="3"/>
    <x v="0"/>
    <n v="1"/>
    <n v="117"/>
    <n v="3"/>
    <x v="1"/>
    <x v="39"/>
    <n v="2"/>
    <n v="2"/>
    <x v="4"/>
    <n v="4"/>
    <x v="1"/>
    <x v="85"/>
    <n v="15830"/>
    <n v="1"/>
    <s v="Y"/>
    <x v="1"/>
    <n v="19"/>
    <n v="3"/>
    <n v="1"/>
    <n v="80"/>
    <n v="3"/>
    <n v="11"/>
    <n v="3"/>
    <n v="3"/>
    <n v="11"/>
    <n v="10"/>
    <x v="13"/>
    <x v="5"/>
  </r>
  <r>
    <x v="21"/>
    <x v="0"/>
    <x v="0"/>
    <n v="669"/>
    <x v="0"/>
    <x v="14"/>
    <n v="2"/>
    <x v="2"/>
    <n v="1"/>
    <n v="118"/>
    <n v="3"/>
    <x v="1"/>
    <x v="51"/>
    <n v="2"/>
    <n v="3"/>
    <x v="0"/>
    <n v="4"/>
    <x v="0"/>
    <x v="86"/>
    <n v="13596"/>
    <n v="1"/>
    <s v="Y"/>
    <x v="1"/>
    <n v="16"/>
    <n v="3"/>
    <n v="4"/>
    <n v="80"/>
    <n v="0"/>
    <n v="9"/>
    <n v="3"/>
    <n v="3"/>
    <n v="9"/>
    <n v="8"/>
    <x v="5"/>
    <x v="1"/>
  </r>
  <r>
    <x v="32"/>
    <x v="1"/>
    <x v="1"/>
    <n v="530"/>
    <x v="1"/>
    <x v="0"/>
    <n v="4"/>
    <x v="0"/>
    <n v="1"/>
    <n v="119"/>
    <n v="3"/>
    <x v="1"/>
    <x v="17"/>
    <n v="2"/>
    <n v="4"/>
    <x v="4"/>
    <n v="2"/>
    <x v="1"/>
    <x v="87"/>
    <n v="14115"/>
    <n v="1"/>
    <s v="Y"/>
    <x v="1"/>
    <n v="22"/>
    <n v="4"/>
    <n v="4"/>
    <n v="80"/>
    <n v="1"/>
    <n v="22"/>
    <n v="3"/>
    <n v="2"/>
    <n v="22"/>
    <n v="3"/>
    <x v="14"/>
    <x v="7"/>
  </r>
  <r>
    <x v="31"/>
    <x v="1"/>
    <x v="0"/>
    <n v="632"/>
    <x v="0"/>
    <x v="11"/>
    <n v="4"/>
    <x v="3"/>
    <n v="1"/>
    <n v="120"/>
    <n v="3"/>
    <x v="1"/>
    <x v="36"/>
    <n v="3"/>
    <n v="2"/>
    <x v="0"/>
    <n v="4"/>
    <x v="0"/>
    <x v="88"/>
    <n v="8423"/>
    <n v="0"/>
    <s v="Y"/>
    <x v="0"/>
    <n v="22"/>
    <n v="4"/>
    <n v="4"/>
    <n v="80"/>
    <n v="0"/>
    <n v="11"/>
    <n v="2"/>
    <n v="1"/>
    <n v="10"/>
    <n v="7"/>
    <x v="1"/>
    <x v="2"/>
  </r>
  <r>
    <x v="7"/>
    <x v="1"/>
    <x v="0"/>
    <n v="1334"/>
    <x v="0"/>
    <x v="18"/>
    <n v="2"/>
    <x v="2"/>
    <n v="1"/>
    <n v="121"/>
    <n v="3"/>
    <x v="0"/>
    <x v="52"/>
    <n v="2"/>
    <n v="2"/>
    <x v="0"/>
    <n v="2"/>
    <x v="2"/>
    <x v="89"/>
    <n v="19760"/>
    <n v="1"/>
    <s v="Y"/>
    <x v="0"/>
    <n v="12"/>
    <n v="3"/>
    <n v="2"/>
    <n v="80"/>
    <n v="3"/>
    <n v="11"/>
    <n v="4"/>
    <n v="2"/>
    <n v="11"/>
    <n v="8"/>
    <x v="3"/>
    <x v="1"/>
  </r>
  <r>
    <x v="21"/>
    <x v="1"/>
    <x v="1"/>
    <n v="638"/>
    <x v="1"/>
    <x v="0"/>
    <n v="3"/>
    <x v="2"/>
    <n v="1"/>
    <n v="124"/>
    <n v="3"/>
    <x v="1"/>
    <x v="4"/>
    <n v="2"/>
    <n v="3"/>
    <x v="4"/>
    <n v="1"/>
    <x v="1"/>
    <x v="90"/>
    <n v="3142"/>
    <n v="2"/>
    <s v="Y"/>
    <x v="0"/>
    <n v="13"/>
    <n v="3"/>
    <n v="3"/>
    <n v="80"/>
    <n v="1"/>
    <n v="21"/>
    <n v="5"/>
    <n v="2"/>
    <n v="10"/>
    <n v="9"/>
    <x v="10"/>
    <x v="0"/>
  </r>
  <r>
    <x v="5"/>
    <x v="1"/>
    <x v="0"/>
    <n v="1093"/>
    <x v="0"/>
    <x v="16"/>
    <n v="4"/>
    <x v="2"/>
    <n v="1"/>
    <n v="125"/>
    <n v="2"/>
    <x v="1"/>
    <x v="44"/>
    <n v="3"/>
    <n v="2"/>
    <x v="0"/>
    <n v="3"/>
    <x v="0"/>
    <x v="91"/>
    <n v="24301"/>
    <n v="1"/>
    <s v="Y"/>
    <x v="1"/>
    <n v="16"/>
    <n v="3"/>
    <n v="1"/>
    <n v="80"/>
    <n v="0"/>
    <n v="12"/>
    <n v="0"/>
    <n v="3"/>
    <n v="11"/>
    <n v="8"/>
    <x v="8"/>
    <x v="1"/>
  </r>
  <r>
    <x v="33"/>
    <x v="1"/>
    <x v="0"/>
    <n v="1217"/>
    <x v="1"/>
    <x v="2"/>
    <n v="4"/>
    <x v="4"/>
    <n v="1"/>
    <n v="126"/>
    <n v="1"/>
    <x v="0"/>
    <x v="53"/>
    <n v="3"/>
    <n v="3"/>
    <x v="7"/>
    <n v="3"/>
    <x v="1"/>
    <x v="92"/>
    <n v="24001"/>
    <n v="9"/>
    <s v="Y"/>
    <x v="1"/>
    <n v="12"/>
    <n v="3"/>
    <n v="1"/>
    <n v="80"/>
    <n v="1"/>
    <n v="16"/>
    <n v="5"/>
    <n v="1"/>
    <n v="4"/>
    <n v="3"/>
    <x v="0"/>
    <x v="6"/>
  </r>
  <r>
    <x v="17"/>
    <x v="1"/>
    <x v="0"/>
    <n v="1353"/>
    <x v="0"/>
    <x v="3"/>
    <n v="2"/>
    <x v="1"/>
    <n v="1"/>
    <n v="128"/>
    <n v="1"/>
    <x v="0"/>
    <x v="30"/>
    <n v="3"/>
    <n v="2"/>
    <x v="0"/>
    <n v="3"/>
    <x v="1"/>
    <x v="93"/>
    <n v="17519"/>
    <n v="0"/>
    <s v="Y"/>
    <x v="1"/>
    <n v="21"/>
    <n v="4"/>
    <n v="1"/>
    <n v="80"/>
    <n v="1"/>
    <n v="4"/>
    <n v="2"/>
    <n v="2"/>
    <n v="3"/>
    <n v="2"/>
    <x v="0"/>
    <x v="3"/>
  </r>
  <r>
    <x v="14"/>
    <x v="1"/>
    <x v="2"/>
    <n v="120"/>
    <x v="0"/>
    <x v="18"/>
    <n v="3"/>
    <x v="2"/>
    <n v="1"/>
    <n v="129"/>
    <n v="2"/>
    <x v="1"/>
    <x v="38"/>
    <n v="3"/>
    <n v="2"/>
    <x v="0"/>
    <n v="3"/>
    <x v="1"/>
    <x v="94"/>
    <n v="8863"/>
    <n v="1"/>
    <s v="Y"/>
    <x v="1"/>
    <n v="15"/>
    <n v="3"/>
    <n v="2"/>
    <n v="80"/>
    <n v="0"/>
    <n v="5"/>
    <n v="3"/>
    <n v="4"/>
    <n v="5"/>
    <n v="4"/>
    <x v="0"/>
    <x v="10"/>
  </r>
  <r>
    <x v="34"/>
    <x v="1"/>
    <x v="0"/>
    <n v="682"/>
    <x v="0"/>
    <x v="17"/>
    <n v="4"/>
    <x v="2"/>
    <n v="1"/>
    <n v="131"/>
    <n v="4"/>
    <x v="1"/>
    <x v="31"/>
    <n v="3"/>
    <n v="4"/>
    <x v="0"/>
    <n v="3"/>
    <x v="0"/>
    <x v="95"/>
    <n v="24409"/>
    <n v="0"/>
    <s v="Y"/>
    <x v="1"/>
    <n v="13"/>
    <n v="3"/>
    <n v="3"/>
    <n v="80"/>
    <n v="0"/>
    <n v="38"/>
    <n v="1"/>
    <n v="2"/>
    <n v="37"/>
    <n v="10"/>
    <x v="1"/>
    <x v="5"/>
  </r>
  <r>
    <x v="20"/>
    <x v="1"/>
    <x v="2"/>
    <n v="489"/>
    <x v="1"/>
    <x v="5"/>
    <n v="3"/>
    <x v="2"/>
    <n v="1"/>
    <n v="132"/>
    <n v="2"/>
    <x v="1"/>
    <x v="7"/>
    <n v="3"/>
    <n v="2"/>
    <x v="2"/>
    <n v="2"/>
    <x v="1"/>
    <x v="96"/>
    <n v="25043"/>
    <n v="4"/>
    <s v="Y"/>
    <x v="1"/>
    <n v="12"/>
    <n v="3"/>
    <n v="3"/>
    <n v="80"/>
    <n v="1"/>
    <n v="17"/>
    <n v="3"/>
    <n v="4"/>
    <n v="3"/>
    <n v="2"/>
    <x v="1"/>
    <x v="3"/>
  </r>
  <r>
    <x v="2"/>
    <x v="0"/>
    <x v="0"/>
    <n v="807"/>
    <x v="2"/>
    <x v="16"/>
    <n v="4"/>
    <x v="5"/>
    <n v="1"/>
    <n v="133"/>
    <n v="3"/>
    <x v="1"/>
    <x v="52"/>
    <n v="3"/>
    <n v="1"/>
    <x v="8"/>
    <n v="1"/>
    <x v="2"/>
    <x v="97"/>
    <n v="23648"/>
    <n v="4"/>
    <s v="Y"/>
    <x v="0"/>
    <n v="22"/>
    <n v="4"/>
    <n v="4"/>
    <n v="80"/>
    <n v="0"/>
    <n v="7"/>
    <n v="3"/>
    <n v="3"/>
    <n v="3"/>
    <n v="2"/>
    <x v="0"/>
    <x v="3"/>
  </r>
  <r>
    <x v="5"/>
    <x v="1"/>
    <x v="0"/>
    <n v="827"/>
    <x v="1"/>
    <x v="0"/>
    <n v="1"/>
    <x v="0"/>
    <n v="1"/>
    <n v="134"/>
    <n v="4"/>
    <x v="1"/>
    <x v="36"/>
    <n v="3"/>
    <n v="1"/>
    <x v="1"/>
    <n v="1"/>
    <x v="0"/>
    <x v="98"/>
    <n v="15178"/>
    <n v="1"/>
    <s v="Y"/>
    <x v="1"/>
    <n v="13"/>
    <n v="3"/>
    <n v="4"/>
    <n v="80"/>
    <n v="0"/>
    <n v="1"/>
    <n v="2"/>
    <n v="3"/>
    <n v="1"/>
    <n v="0"/>
    <x v="0"/>
    <x v="2"/>
  </r>
  <r>
    <x v="35"/>
    <x v="0"/>
    <x v="1"/>
    <n v="871"/>
    <x v="1"/>
    <x v="16"/>
    <n v="3"/>
    <x v="0"/>
    <n v="1"/>
    <n v="137"/>
    <n v="4"/>
    <x v="0"/>
    <x v="45"/>
    <n v="2"/>
    <n v="1"/>
    <x v="2"/>
    <n v="4"/>
    <x v="0"/>
    <x v="99"/>
    <n v="19783"/>
    <n v="1"/>
    <s v="Y"/>
    <x v="0"/>
    <n v="18"/>
    <n v="3"/>
    <n v="2"/>
    <n v="80"/>
    <n v="0"/>
    <n v="1"/>
    <n v="5"/>
    <n v="3"/>
    <n v="1"/>
    <n v="0"/>
    <x v="1"/>
    <x v="2"/>
  </r>
  <r>
    <x v="13"/>
    <x v="1"/>
    <x v="0"/>
    <n v="665"/>
    <x v="1"/>
    <x v="16"/>
    <n v="4"/>
    <x v="1"/>
    <n v="1"/>
    <n v="138"/>
    <n v="1"/>
    <x v="0"/>
    <x v="26"/>
    <n v="3"/>
    <n v="2"/>
    <x v="1"/>
    <n v="3"/>
    <x v="0"/>
    <x v="100"/>
    <n v="12482"/>
    <n v="1"/>
    <s v="Y"/>
    <x v="1"/>
    <n v="14"/>
    <n v="3"/>
    <n v="3"/>
    <n v="80"/>
    <n v="0"/>
    <n v="16"/>
    <n v="3"/>
    <n v="3"/>
    <n v="16"/>
    <n v="13"/>
    <x v="3"/>
    <x v="13"/>
  </r>
  <r>
    <x v="2"/>
    <x v="1"/>
    <x v="2"/>
    <n v="1040"/>
    <x v="1"/>
    <x v="2"/>
    <n v="2"/>
    <x v="0"/>
    <n v="1"/>
    <n v="139"/>
    <n v="3"/>
    <x v="1"/>
    <x v="54"/>
    <n v="2"/>
    <n v="2"/>
    <x v="4"/>
    <n v="4"/>
    <x v="2"/>
    <x v="101"/>
    <n v="15850"/>
    <n v="5"/>
    <s v="Y"/>
    <x v="1"/>
    <n v="14"/>
    <n v="3"/>
    <n v="4"/>
    <n v="80"/>
    <n v="1"/>
    <n v="17"/>
    <n v="2"/>
    <n v="4"/>
    <n v="1"/>
    <n v="0"/>
    <x v="0"/>
    <x v="2"/>
  </r>
  <r>
    <x v="6"/>
    <x v="1"/>
    <x v="2"/>
    <n v="1420"/>
    <x v="2"/>
    <x v="2"/>
    <n v="4"/>
    <x v="5"/>
    <n v="1"/>
    <n v="140"/>
    <n v="3"/>
    <x v="0"/>
    <x v="47"/>
    <n v="2"/>
    <n v="5"/>
    <x v="5"/>
    <n v="4"/>
    <x v="1"/>
    <x v="102"/>
    <n v="21922"/>
    <n v="9"/>
    <s v="Y"/>
    <x v="1"/>
    <n v="21"/>
    <n v="4"/>
    <n v="4"/>
    <n v="80"/>
    <n v="1"/>
    <n v="30"/>
    <n v="3"/>
    <n v="3"/>
    <n v="3"/>
    <n v="2"/>
    <x v="3"/>
    <x v="3"/>
  </r>
  <r>
    <x v="24"/>
    <x v="1"/>
    <x v="1"/>
    <n v="1115"/>
    <x v="1"/>
    <x v="0"/>
    <n v="3"/>
    <x v="0"/>
    <n v="1"/>
    <n v="141"/>
    <n v="1"/>
    <x v="0"/>
    <x v="32"/>
    <n v="3"/>
    <n v="5"/>
    <x v="7"/>
    <n v="2"/>
    <x v="1"/>
    <x v="103"/>
    <n v="9755"/>
    <n v="3"/>
    <s v="Y"/>
    <x v="0"/>
    <n v="19"/>
    <n v="3"/>
    <n v="1"/>
    <n v="80"/>
    <n v="0"/>
    <n v="28"/>
    <n v="1"/>
    <n v="2"/>
    <n v="8"/>
    <n v="3"/>
    <x v="0"/>
    <x v="1"/>
  </r>
  <r>
    <x v="36"/>
    <x v="0"/>
    <x v="0"/>
    <n v="240"/>
    <x v="0"/>
    <x v="12"/>
    <n v="3"/>
    <x v="3"/>
    <n v="1"/>
    <n v="142"/>
    <n v="3"/>
    <x v="1"/>
    <x v="55"/>
    <n v="2"/>
    <n v="2"/>
    <x v="0"/>
    <n v="3"/>
    <x v="0"/>
    <x v="104"/>
    <n v="26959"/>
    <n v="1"/>
    <s v="Y"/>
    <x v="0"/>
    <n v="11"/>
    <n v="3"/>
    <n v="4"/>
    <n v="80"/>
    <n v="0"/>
    <n v="6"/>
    <n v="1"/>
    <n v="3"/>
    <n v="6"/>
    <n v="4"/>
    <x v="0"/>
    <x v="6"/>
  </r>
  <r>
    <x v="36"/>
    <x v="1"/>
    <x v="0"/>
    <n v="1280"/>
    <x v="1"/>
    <x v="15"/>
    <n v="1"/>
    <x v="2"/>
    <n v="1"/>
    <n v="143"/>
    <n v="4"/>
    <x v="1"/>
    <x v="51"/>
    <n v="2"/>
    <n v="1"/>
    <x v="1"/>
    <n v="4"/>
    <x v="1"/>
    <x v="105"/>
    <n v="26897"/>
    <n v="1"/>
    <s v="Y"/>
    <x v="1"/>
    <n v="11"/>
    <n v="3"/>
    <n v="3"/>
    <n v="80"/>
    <n v="2"/>
    <n v="2"/>
    <n v="2"/>
    <n v="3"/>
    <n v="2"/>
    <n v="2"/>
    <x v="3"/>
    <x v="9"/>
  </r>
  <r>
    <x v="15"/>
    <x v="1"/>
    <x v="0"/>
    <n v="534"/>
    <x v="1"/>
    <x v="8"/>
    <n v="3"/>
    <x v="2"/>
    <n v="1"/>
    <n v="144"/>
    <n v="2"/>
    <x v="0"/>
    <x v="40"/>
    <n v="3"/>
    <n v="1"/>
    <x v="2"/>
    <n v="4"/>
    <x v="0"/>
    <x v="106"/>
    <n v="23785"/>
    <n v="1"/>
    <s v="Y"/>
    <x v="1"/>
    <n v="15"/>
    <n v="3"/>
    <n v="3"/>
    <n v="80"/>
    <n v="0"/>
    <n v="1"/>
    <n v="5"/>
    <n v="3"/>
    <n v="0"/>
    <n v="0"/>
    <x v="0"/>
    <x v="2"/>
  </r>
  <r>
    <x v="31"/>
    <x v="1"/>
    <x v="1"/>
    <n v="1456"/>
    <x v="1"/>
    <x v="0"/>
    <n v="4"/>
    <x v="2"/>
    <n v="1"/>
    <n v="145"/>
    <n v="1"/>
    <x v="0"/>
    <x v="37"/>
    <n v="2"/>
    <n v="3"/>
    <x v="4"/>
    <n v="1"/>
    <x v="0"/>
    <x v="107"/>
    <n v="25796"/>
    <n v="3"/>
    <s v="Y"/>
    <x v="1"/>
    <n v="20"/>
    <n v="4"/>
    <n v="3"/>
    <n v="80"/>
    <n v="0"/>
    <n v="23"/>
    <n v="1"/>
    <n v="2"/>
    <n v="13"/>
    <n v="12"/>
    <x v="12"/>
    <x v="5"/>
  </r>
  <r>
    <x v="13"/>
    <x v="0"/>
    <x v="1"/>
    <n v="658"/>
    <x v="1"/>
    <x v="15"/>
    <n v="3"/>
    <x v="0"/>
    <n v="1"/>
    <n v="147"/>
    <n v="1"/>
    <x v="1"/>
    <x v="45"/>
    <n v="1"/>
    <n v="2"/>
    <x v="2"/>
    <n v="3"/>
    <x v="0"/>
    <x v="108"/>
    <n v="22887"/>
    <n v="1"/>
    <s v="Y"/>
    <x v="0"/>
    <n v="24"/>
    <n v="4"/>
    <n v="4"/>
    <n v="80"/>
    <n v="0"/>
    <n v="9"/>
    <n v="3"/>
    <n v="3"/>
    <n v="9"/>
    <n v="7"/>
    <x v="0"/>
    <x v="4"/>
  </r>
  <r>
    <x v="33"/>
    <x v="1"/>
    <x v="2"/>
    <n v="142"/>
    <x v="2"/>
    <x v="9"/>
    <n v="3"/>
    <x v="5"/>
    <n v="1"/>
    <n v="148"/>
    <n v="4"/>
    <x v="0"/>
    <x v="37"/>
    <n v="4"/>
    <n v="4"/>
    <x v="5"/>
    <n v="4"/>
    <x v="0"/>
    <x v="109"/>
    <n v="13871"/>
    <n v="2"/>
    <s v="Y"/>
    <x v="0"/>
    <n v="12"/>
    <n v="3"/>
    <n v="3"/>
    <n v="80"/>
    <n v="0"/>
    <n v="23"/>
    <n v="3"/>
    <n v="3"/>
    <n v="5"/>
    <n v="3"/>
    <x v="5"/>
    <x v="10"/>
  </r>
  <r>
    <x v="17"/>
    <x v="1"/>
    <x v="0"/>
    <n v="1127"/>
    <x v="1"/>
    <x v="21"/>
    <n v="1"/>
    <x v="0"/>
    <n v="1"/>
    <n v="150"/>
    <n v="2"/>
    <x v="1"/>
    <x v="48"/>
    <n v="3"/>
    <n v="1"/>
    <x v="2"/>
    <n v="3"/>
    <x v="1"/>
    <x v="110"/>
    <n v="13257"/>
    <n v="0"/>
    <s v="Y"/>
    <x v="1"/>
    <n v="12"/>
    <n v="3"/>
    <n v="3"/>
    <n v="80"/>
    <n v="1"/>
    <n v="6"/>
    <n v="2"/>
    <n v="3"/>
    <n v="5"/>
    <n v="3"/>
    <x v="1"/>
    <x v="3"/>
  </r>
  <r>
    <x v="13"/>
    <x v="1"/>
    <x v="0"/>
    <n v="1031"/>
    <x v="1"/>
    <x v="16"/>
    <n v="4"/>
    <x v="0"/>
    <n v="1"/>
    <n v="151"/>
    <n v="3"/>
    <x v="0"/>
    <x v="18"/>
    <n v="2"/>
    <n v="2"/>
    <x v="1"/>
    <n v="2"/>
    <x v="2"/>
    <x v="111"/>
    <n v="15000"/>
    <n v="6"/>
    <s v="Y"/>
    <x v="1"/>
    <n v="15"/>
    <n v="3"/>
    <n v="3"/>
    <n v="80"/>
    <n v="1"/>
    <n v="12"/>
    <n v="3"/>
    <n v="3"/>
    <n v="1"/>
    <n v="0"/>
    <x v="0"/>
    <x v="2"/>
  </r>
  <r>
    <x v="2"/>
    <x v="1"/>
    <x v="0"/>
    <n v="1189"/>
    <x v="0"/>
    <x v="3"/>
    <n v="3"/>
    <x v="0"/>
    <n v="1"/>
    <n v="152"/>
    <n v="3"/>
    <x v="1"/>
    <x v="44"/>
    <n v="3"/>
    <n v="3"/>
    <x v="0"/>
    <n v="4"/>
    <x v="0"/>
    <x v="112"/>
    <n v="14506"/>
    <n v="2"/>
    <s v="Y"/>
    <x v="1"/>
    <n v="12"/>
    <n v="3"/>
    <n v="1"/>
    <n v="80"/>
    <n v="0"/>
    <n v="12"/>
    <n v="3"/>
    <n v="3"/>
    <n v="5"/>
    <n v="3"/>
    <x v="1"/>
    <x v="6"/>
  </r>
  <r>
    <x v="13"/>
    <x v="1"/>
    <x v="0"/>
    <n v="1354"/>
    <x v="1"/>
    <x v="12"/>
    <n v="3"/>
    <x v="2"/>
    <n v="1"/>
    <n v="153"/>
    <n v="3"/>
    <x v="0"/>
    <x v="18"/>
    <n v="2"/>
    <n v="3"/>
    <x v="5"/>
    <n v="1"/>
    <x v="0"/>
    <x v="113"/>
    <n v="5615"/>
    <n v="2"/>
    <s v="Y"/>
    <x v="1"/>
    <n v="12"/>
    <n v="3"/>
    <n v="4"/>
    <n v="80"/>
    <n v="0"/>
    <n v="14"/>
    <n v="6"/>
    <n v="3"/>
    <n v="11"/>
    <n v="10"/>
    <x v="8"/>
    <x v="5"/>
  </r>
  <r>
    <x v="9"/>
    <x v="1"/>
    <x v="1"/>
    <n v="1467"/>
    <x v="0"/>
    <x v="13"/>
    <n v="2"/>
    <x v="4"/>
    <n v="1"/>
    <n v="154"/>
    <n v="2"/>
    <x v="0"/>
    <x v="2"/>
    <n v="3"/>
    <n v="3"/>
    <x v="0"/>
    <n v="4"/>
    <x v="1"/>
    <x v="114"/>
    <n v="22952"/>
    <n v="0"/>
    <s v="Y"/>
    <x v="1"/>
    <n v="14"/>
    <n v="3"/>
    <n v="3"/>
    <n v="80"/>
    <n v="1"/>
    <n v="10"/>
    <n v="6"/>
    <n v="3"/>
    <n v="9"/>
    <n v="7"/>
    <x v="3"/>
    <x v="5"/>
  </r>
  <r>
    <x v="9"/>
    <x v="1"/>
    <x v="0"/>
    <n v="922"/>
    <x v="1"/>
    <x v="3"/>
    <n v="2"/>
    <x v="0"/>
    <n v="1"/>
    <n v="155"/>
    <n v="1"/>
    <x v="0"/>
    <x v="56"/>
    <n v="3"/>
    <n v="1"/>
    <x v="2"/>
    <n v="4"/>
    <x v="2"/>
    <x v="115"/>
    <n v="2561"/>
    <n v="5"/>
    <s v="Y"/>
    <x v="1"/>
    <n v="22"/>
    <n v="4"/>
    <n v="1"/>
    <n v="80"/>
    <n v="1"/>
    <n v="7"/>
    <n v="2"/>
    <n v="3"/>
    <n v="1"/>
    <n v="0"/>
    <x v="0"/>
    <x v="2"/>
  </r>
  <r>
    <x v="23"/>
    <x v="1"/>
    <x v="1"/>
    <n v="394"/>
    <x v="0"/>
    <x v="9"/>
    <n v="2"/>
    <x v="0"/>
    <n v="1"/>
    <n v="158"/>
    <n v="3"/>
    <x v="1"/>
    <x v="2"/>
    <n v="3"/>
    <n v="4"/>
    <x v="5"/>
    <n v="4"/>
    <x v="1"/>
    <x v="116"/>
    <n v="19494"/>
    <n v="1"/>
    <s v="Y"/>
    <x v="0"/>
    <n v="12"/>
    <n v="3"/>
    <n v="4"/>
    <n v="80"/>
    <n v="2"/>
    <n v="25"/>
    <n v="3"/>
    <n v="4"/>
    <n v="25"/>
    <n v="12"/>
    <x v="5"/>
    <x v="11"/>
  </r>
  <r>
    <x v="7"/>
    <x v="1"/>
    <x v="1"/>
    <n v="1312"/>
    <x v="1"/>
    <x v="5"/>
    <n v="3"/>
    <x v="0"/>
    <n v="1"/>
    <n v="159"/>
    <n v="1"/>
    <x v="1"/>
    <x v="16"/>
    <n v="1"/>
    <n v="1"/>
    <x v="1"/>
    <n v="3"/>
    <x v="2"/>
    <x v="117"/>
    <n v="22310"/>
    <n v="1"/>
    <s v="Y"/>
    <x v="1"/>
    <n v="25"/>
    <n v="4"/>
    <n v="3"/>
    <n v="80"/>
    <n v="3"/>
    <n v="10"/>
    <n v="2"/>
    <n v="2"/>
    <n v="10"/>
    <n v="7"/>
    <x v="0"/>
    <x v="12"/>
  </r>
  <r>
    <x v="3"/>
    <x v="1"/>
    <x v="2"/>
    <n v="750"/>
    <x v="0"/>
    <x v="23"/>
    <n v="2"/>
    <x v="3"/>
    <n v="1"/>
    <n v="160"/>
    <n v="3"/>
    <x v="1"/>
    <x v="41"/>
    <n v="3"/>
    <n v="2"/>
    <x v="0"/>
    <n v="2"/>
    <x v="1"/>
    <x v="118"/>
    <n v="15480"/>
    <n v="0"/>
    <s v="Y"/>
    <x v="1"/>
    <n v="13"/>
    <n v="3"/>
    <n v="1"/>
    <n v="80"/>
    <n v="1"/>
    <n v="8"/>
    <n v="2"/>
    <n v="4"/>
    <n v="7"/>
    <n v="7"/>
    <x v="0"/>
    <x v="1"/>
  </r>
  <r>
    <x v="29"/>
    <x v="0"/>
    <x v="0"/>
    <n v="441"/>
    <x v="1"/>
    <x v="24"/>
    <n v="4"/>
    <x v="0"/>
    <n v="1"/>
    <n v="161"/>
    <n v="2"/>
    <x v="0"/>
    <x v="23"/>
    <n v="3"/>
    <n v="1"/>
    <x v="1"/>
    <n v="2"/>
    <x v="1"/>
    <x v="119"/>
    <n v="4510"/>
    <n v="9"/>
    <s v="Y"/>
    <x v="0"/>
    <n v="18"/>
    <n v="3"/>
    <n v="1"/>
    <n v="80"/>
    <n v="3"/>
    <n v="7"/>
    <n v="2"/>
    <n v="3"/>
    <n v="5"/>
    <n v="4"/>
    <x v="5"/>
    <x v="6"/>
  </r>
  <r>
    <x v="31"/>
    <x v="1"/>
    <x v="0"/>
    <n v="684"/>
    <x v="1"/>
    <x v="16"/>
    <n v="3"/>
    <x v="0"/>
    <n v="1"/>
    <n v="162"/>
    <n v="1"/>
    <x v="1"/>
    <x v="14"/>
    <n v="3"/>
    <n v="5"/>
    <x v="7"/>
    <n v="3"/>
    <x v="0"/>
    <x v="120"/>
    <n v="6462"/>
    <n v="7"/>
    <s v="Y"/>
    <x v="1"/>
    <n v="13"/>
    <n v="3"/>
    <n v="3"/>
    <n v="80"/>
    <n v="0"/>
    <n v="23"/>
    <n v="5"/>
    <n v="3"/>
    <n v="20"/>
    <n v="18"/>
    <x v="9"/>
    <x v="14"/>
  </r>
  <r>
    <x v="12"/>
    <x v="0"/>
    <x v="0"/>
    <n v="249"/>
    <x v="0"/>
    <x v="16"/>
    <n v="4"/>
    <x v="0"/>
    <n v="1"/>
    <n v="163"/>
    <n v="2"/>
    <x v="1"/>
    <x v="43"/>
    <n v="1"/>
    <n v="2"/>
    <x v="0"/>
    <n v="3"/>
    <x v="1"/>
    <x v="121"/>
    <n v="20739"/>
    <n v="4"/>
    <s v="Y"/>
    <x v="0"/>
    <n v="18"/>
    <n v="3"/>
    <n v="2"/>
    <n v="80"/>
    <n v="0"/>
    <n v="12"/>
    <n v="3"/>
    <n v="2"/>
    <n v="7"/>
    <n v="7"/>
    <x v="4"/>
    <x v="1"/>
  </r>
  <r>
    <x v="25"/>
    <x v="1"/>
    <x v="0"/>
    <n v="841"/>
    <x v="1"/>
    <x v="16"/>
    <n v="3"/>
    <x v="1"/>
    <n v="1"/>
    <n v="164"/>
    <n v="3"/>
    <x v="0"/>
    <x v="55"/>
    <n v="2"/>
    <n v="1"/>
    <x v="1"/>
    <n v="2"/>
    <x v="1"/>
    <x v="122"/>
    <n v="23300"/>
    <n v="1"/>
    <s v="Y"/>
    <x v="1"/>
    <n v="19"/>
    <n v="3"/>
    <n v="3"/>
    <n v="80"/>
    <n v="0"/>
    <n v="5"/>
    <n v="3"/>
    <n v="2"/>
    <n v="5"/>
    <n v="4"/>
    <x v="5"/>
    <x v="6"/>
  </r>
  <r>
    <x v="34"/>
    <x v="0"/>
    <x v="0"/>
    <n v="147"/>
    <x v="1"/>
    <x v="5"/>
    <n v="4"/>
    <x v="2"/>
    <n v="1"/>
    <n v="165"/>
    <n v="4"/>
    <x v="0"/>
    <x v="0"/>
    <n v="3"/>
    <n v="3"/>
    <x v="4"/>
    <n v="4"/>
    <x v="1"/>
    <x v="123"/>
    <n v="3465"/>
    <n v="1"/>
    <s v="Y"/>
    <x v="1"/>
    <n v="12"/>
    <n v="3"/>
    <n v="4"/>
    <n v="80"/>
    <n v="1"/>
    <n v="40"/>
    <n v="3"/>
    <n v="2"/>
    <n v="40"/>
    <n v="10"/>
    <x v="9"/>
    <x v="4"/>
  </r>
  <r>
    <x v="37"/>
    <x v="0"/>
    <x v="0"/>
    <n v="528"/>
    <x v="0"/>
    <x v="23"/>
    <n v="1"/>
    <x v="3"/>
    <n v="1"/>
    <n v="167"/>
    <n v="4"/>
    <x v="1"/>
    <x v="13"/>
    <n v="3"/>
    <n v="1"/>
    <x v="6"/>
    <n v="3"/>
    <x v="0"/>
    <x v="124"/>
    <n v="26820"/>
    <n v="1"/>
    <s v="Y"/>
    <x v="0"/>
    <n v="19"/>
    <n v="3"/>
    <n v="4"/>
    <n v="80"/>
    <n v="0"/>
    <n v="0"/>
    <n v="2"/>
    <n v="2"/>
    <n v="0"/>
    <n v="0"/>
    <x v="0"/>
    <x v="2"/>
  </r>
  <r>
    <x v="15"/>
    <x v="1"/>
    <x v="0"/>
    <n v="594"/>
    <x v="1"/>
    <x v="2"/>
    <n v="1"/>
    <x v="4"/>
    <n v="1"/>
    <n v="169"/>
    <n v="3"/>
    <x v="1"/>
    <x v="54"/>
    <n v="3"/>
    <n v="1"/>
    <x v="2"/>
    <n v="4"/>
    <x v="1"/>
    <x v="125"/>
    <n v="19299"/>
    <n v="0"/>
    <s v="Y"/>
    <x v="1"/>
    <n v="14"/>
    <n v="3"/>
    <n v="3"/>
    <n v="80"/>
    <n v="1"/>
    <n v="3"/>
    <n v="2"/>
    <n v="3"/>
    <n v="2"/>
    <n v="1"/>
    <x v="3"/>
    <x v="9"/>
  </r>
  <r>
    <x v="1"/>
    <x v="1"/>
    <x v="0"/>
    <n v="470"/>
    <x v="1"/>
    <x v="25"/>
    <n v="4"/>
    <x v="2"/>
    <n v="1"/>
    <n v="170"/>
    <n v="3"/>
    <x v="0"/>
    <x v="16"/>
    <n v="3"/>
    <n v="2"/>
    <x v="3"/>
    <n v="1"/>
    <x v="1"/>
    <x v="126"/>
    <n v="5549"/>
    <n v="1"/>
    <s v="Y"/>
    <x v="1"/>
    <n v="14"/>
    <n v="3"/>
    <n v="3"/>
    <n v="80"/>
    <n v="0"/>
    <n v="16"/>
    <n v="2"/>
    <n v="2"/>
    <n v="15"/>
    <n v="11"/>
    <x v="8"/>
    <x v="7"/>
  </r>
  <r>
    <x v="23"/>
    <x v="1"/>
    <x v="1"/>
    <n v="957"/>
    <x v="1"/>
    <x v="26"/>
    <n v="3"/>
    <x v="2"/>
    <n v="1"/>
    <n v="171"/>
    <n v="2"/>
    <x v="0"/>
    <x v="23"/>
    <n v="4"/>
    <n v="1"/>
    <x v="1"/>
    <n v="3"/>
    <x v="0"/>
    <x v="127"/>
    <n v="16090"/>
    <n v="4"/>
    <s v="Y"/>
    <x v="1"/>
    <n v="12"/>
    <n v="3"/>
    <n v="4"/>
    <n v="80"/>
    <n v="0"/>
    <n v="18"/>
    <n v="2"/>
    <n v="3"/>
    <n v="3"/>
    <n v="2"/>
    <x v="1"/>
    <x v="3"/>
  </r>
  <r>
    <x v="24"/>
    <x v="1"/>
    <x v="1"/>
    <n v="809"/>
    <x v="0"/>
    <x v="20"/>
    <n v="3"/>
    <x v="3"/>
    <n v="1"/>
    <n v="174"/>
    <n v="3"/>
    <x v="0"/>
    <x v="57"/>
    <n v="3"/>
    <n v="3"/>
    <x v="0"/>
    <n v="4"/>
    <x v="0"/>
    <x v="128"/>
    <n v="6645"/>
    <n v="4"/>
    <s v="Y"/>
    <x v="1"/>
    <n v="11"/>
    <n v="3"/>
    <n v="4"/>
    <n v="80"/>
    <n v="0"/>
    <n v="16"/>
    <n v="3"/>
    <n v="3"/>
    <n v="2"/>
    <n v="2"/>
    <x v="3"/>
    <x v="9"/>
  </r>
  <r>
    <x v="12"/>
    <x v="0"/>
    <x v="0"/>
    <n v="542"/>
    <x v="0"/>
    <x v="25"/>
    <n v="3"/>
    <x v="0"/>
    <n v="1"/>
    <n v="175"/>
    <n v="2"/>
    <x v="0"/>
    <x v="36"/>
    <n v="1"/>
    <n v="2"/>
    <x v="0"/>
    <n v="3"/>
    <x v="1"/>
    <x v="129"/>
    <n v="24788"/>
    <n v="3"/>
    <s v="Y"/>
    <x v="0"/>
    <n v="11"/>
    <n v="3"/>
    <n v="3"/>
    <n v="80"/>
    <n v="1"/>
    <n v="4"/>
    <n v="2"/>
    <n v="3"/>
    <n v="2"/>
    <n v="2"/>
    <x v="3"/>
    <x v="3"/>
  </r>
  <r>
    <x v="0"/>
    <x v="1"/>
    <x v="0"/>
    <n v="802"/>
    <x v="0"/>
    <x v="14"/>
    <n v="1"/>
    <x v="0"/>
    <n v="1"/>
    <n v="176"/>
    <n v="3"/>
    <x v="1"/>
    <x v="16"/>
    <n v="3"/>
    <n v="3"/>
    <x v="0"/>
    <n v="3"/>
    <x v="2"/>
    <x v="130"/>
    <n v="21196"/>
    <n v="3"/>
    <s v="Y"/>
    <x v="0"/>
    <n v="13"/>
    <n v="3"/>
    <n v="3"/>
    <n v="80"/>
    <n v="1"/>
    <n v="12"/>
    <n v="2"/>
    <n v="3"/>
    <n v="9"/>
    <n v="7"/>
    <x v="0"/>
    <x v="1"/>
  </r>
  <r>
    <x v="25"/>
    <x v="1"/>
    <x v="0"/>
    <n v="1355"/>
    <x v="2"/>
    <x v="19"/>
    <n v="1"/>
    <x v="0"/>
    <n v="1"/>
    <n v="177"/>
    <n v="3"/>
    <x v="0"/>
    <x v="1"/>
    <n v="3"/>
    <n v="1"/>
    <x v="8"/>
    <n v="3"/>
    <x v="1"/>
    <x v="131"/>
    <n v="8916"/>
    <n v="1"/>
    <s v="Y"/>
    <x v="1"/>
    <n v="23"/>
    <n v="4"/>
    <n v="4"/>
    <n v="80"/>
    <n v="1"/>
    <n v="8"/>
    <n v="3"/>
    <n v="3"/>
    <n v="8"/>
    <n v="7"/>
    <x v="8"/>
    <x v="1"/>
  </r>
  <r>
    <x v="9"/>
    <x v="1"/>
    <x v="0"/>
    <n v="216"/>
    <x v="1"/>
    <x v="16"/>
    <n v="2"/>
    <x v="2"/>
    <n v="1"/>
    <n v="178"/>
    <n v="2"/>
    <x v="1"/>
    <x v="9"/>
    <n v="3"/>
    <n v="2"/>
    <x v="3"/>
    <n v="2"/>
    <x v="2"/>
    <x v="132"/>
    <n v="2819"/>
    <n v="6"/>
    <s v="Y"/>
    <x v="1"/>
    <n v="20"/>
    <n v="4"/>
    <n v="4"/>
    <n v="80"/>
    <n v="2"/>
    <n v="7"/>
    <n v="0"/>
    <n v="3"/>
    <n v="3"/>
    <n v="2"/>
    <x v="0"/>
    <x v="9"/>
  </r>
  <r>
    <x v="31"/>
    <x v="0"/>
    <x v="1"/>
    <n v="1150"/>
    <x v="1"/>
    <x v="1"/>
    <n v="4"/>
    <x v="0"/>
    <n v="1"/>
    <n v="179"/>
    <n v="1"/>
    <x v="1"/>
    <x v="20"/>
    <n v="1"/>
    <n v="3"/>
    <x v="3"/>
    <n v="4"/>
    <x v="0"/>
    <x v="133"/>
    <n v="25150"/>
    <n v="2"/>
    <s v="Y"/>
    <x v="1"/>
    <n v="15"/>
    <n v="3"/>
    <n v="4"/>
    <n v="80"/>
    <n v="0"/>
    <n v="18"/>
    <n v="2"/>
    <n v="3"/>
    <n v="4"/>
    <n v="2"/>
    <x v="0"/>
    <x v="6"/>
  </r>
  <r>
    <x v="22"/>
    <x v="1"/>
    <x v="0"/>
    <n v="1329"/>
    <x v="0"/>
    <x v="18"/>
    <n v="4"/>
    <x v="0"/>
    <n v="1"/>
    <n v="182"/>
    <n v="4"/>
    <x v="0"/>
    <x v="35"/>
    <n v="2"/>
    <n v="2"/>
    <x v="0"/>
    <n v="3"/>
    <x v="1"/>
    <x v="134"/>
    <n v="14590"/>
    <n v="4"/>
    <s v="Y"/>
    <x v="1"/>
    <n v="14"/>
    <n v="3"/>
    <n v="3"/>
    <n v="80"/>
    <n v="1"/>
    <n v="17"/>
    <n v="1"/>
    <n v="4"/>
    <n v="15"/>
    <n v="11"/>
    <x v="8"/>
    <x v="12"/>
  </r>
  <r>
    <x v="36"/>
    <x v="1"/>
    <x v="0"/>
    <n v="959"/>
    <x v="0"/>
    <x v="26"/>
    <n v="3"/>
    <x v="0"/>
    <n v="1"/>
    <n v="183"/>
    <n v="1"/>
    <x v="1"/>
    <x v="26"/>
    <n v="2"/>
    <n v="2"/>
    <x v="0"/>
    <n v="3"/>
    <x v="1"/>
    <x v="135"/>
    <n v="24835"/>
    <n v="2"/>
    <s v="Y"/>
    <x v="1"/>
    <n v="18"/>
    <n v="3"/>
    <n v="4"/>
    <n v="80"/>
    <n v="0"/>
    <n v="6"/>
    <n v="3"/>
    <n v="3"/>
    <n v="2"/>
    <n v="2"/>
    <x v="3"/>
    <x v="3"/>
  </r>
  <r>
    <x v="7"/>
    <x v="1"/>
    <x v="0"/>
    <n v="1240"/>
    <x v="2"/>
    <x v="14"/>
    <n v="3"/>
    <x v="5"/>
    <n v="1"/>
    <n v="184"/>
    <n v="3"/>
    <x v="1"/>
    <x v="24"/>
    <n v="3"/>
    <n v="2"/>
    <x v="8"/>
    <n v="4"/>
    <x v="1"/>
    <x v="136"/>
    <n v="13982"/>
    <n v="0"/>
    <s v="Y"/>
    <x v="0"/>
    <n v="19"/>
    <n v="3"/>
    <n v="4"/>
    <n v="80"/>
    <n v="0"/>
    <n v="12"/>
    <n v="2"/>
    <n v="1"/>
    <n v="11"/>
    <n v="9"/>
    <x v="5"/>
    <x v="1"/>
  </r>
  <r>
    <x v="5"/>
    <x v="0"/>
    <x v="0"/>
    <n v="1033"/>
    <x v="1"/>
    <x v="14"/>
    <n v="3"/>
    <x v="2"/>
    <n v="1"/>
    <n v="190"/>
    <n v="1"/>
    <x v="0"/>
    <x v="26"/>
    <n v="3"/>
    <n v="1"/>
    <x v="2"/>
    <n v="1"/>
    <x v="0"/>
    <x v="137"/>
    <n v="10224"/>
    <n v="7"/>
    <s v="Y"/>
    <x v="1"/>
    <n v="22"/>
    <n v="4"/>
    <n v="1"/>
    <n v="80"/>
    <n v="0"/>
    <n v="10"/>
    <n v="2"/>
    <n v="4"/>
    <n v="5"/>
    <n v="4"/>
    <x v="0"/>
    <x v="10"/>
  </r>
  <r>
    <x v="28"/>
    <x v="1"/>
    <x v="0"/>
    <n v="1316"/>
    <x v="1"/>
    <x v="22"/>
    <n v="3"/>
    <x v="2"/>
    <n v="1"/>
    <n v="192"/>
    <n v="3"/>
    <x v="1"/>
    <x v="21"/>
    <n v="3"/>
    <n v="1"/>
    <x v="1"/>
    <n v="4"/>
    <x v="0"/>
    <x v="138"/>
    <n v="9752"/>
    <n v="5"/>
    <s v="Y"/>
    <x v="1"/>
    <n v="13"/>
    <n v="3"/>
    <n v="2"/>
    <n v="80"/>
    <n v="0"/>
    <n v="9"/>
    <n v="2"/>
    <n v="2"/>
    <n v="6"/>
    <n v="5"/>
    <x v="0"/>
    <x v="6"/>
  </r>
  <r>
    <x v="8"/>
    <x v="1"/>
    <x v="0"/>
    <n v="364"/>
    <x v="1"/>
    <x v="3"/>
    <n v="5"/>
    <x v="4"/>
    <n v="1"/>
    <n v="193"/>
    <n v="4"/>
    <x v="0"/>
    <x v="47"/>
    <n v="3"/>
    <n v="2"/>
    <x v="1"/>
    <n v="3"/>
    <x v="0"/>
    <x v="139"/>
    <n v="2302"/>
    <n v="3"/>
    <s v="Y"/>
    <x v="0"/>
    <n v="20"/>
    <n v="4"/>
    <n v="2"/>
    <n v="80"/>
    <n v="0"/>
    <n v="19"/>
    <n v="2"/>
    <n v="3"/>
    <n v="3"/>
    <n v="2"/>
    <x v="3"/>
    <x v="3"/>
  </r>
  <r>
    <x v="7"/>
    <x v="1"/>
    <x v="0"/>
    <n v="438"/>
    <x v="1"/>
    <x v="21"/>
    <n v="3"/>
    <x v="0"/>
    <n v="1"/>
    <n v="194"/>
    <n v="1"/>
    <x v="0"/>
    <x v="29"/>
    <n v="3"/>
    <n v="1"/>
    <x v="1"/>
    <n v="3"/>
    <x v="0"/>
    <x v="140"/>
    <n v="23910"/>
    <n v="1"/>
    <s v="Y"/>
    <x v="1"/>
    <n v="14"/>
    <n v="3"/>
    <n v="3"/>
    <n v="80"/>
    <n v="0"/>
    <n v="5"/>
    <n v="4"/>
    <n v="2"/>
    <n v="5"/>
    <n v="4"/>
    <x v="0"/>
    <x v="10"/>
  </r>
  <r>
    <x v="5"/>
    <x v="1"/>
    <x v="1"/>
    <n v="689"/>
    <x v="0"/>
    <x v="14"/>
    <n v="2"/>
    <x v="2"/>
    <n v="1"/>
    <n v="195"/>
    <n v="4"/>
    <x v="1"/>
    <x v="58"/>
    <n v="1"/>
    <n v="2"/>
    <x v="0"/>
    <n v="4"/>
    <x v="2"/>
    <x v="141"/>
    <n v="22812"/>
    <n v="0"/>
    <s v="Y"/>
    <x v="1"/>
    <n v="17"/>
    <n v="3"/>
    <n v="4"/>
    <n v="80"/>
    <n v="3"/>
    <n v="9"/>
    <n v="2"/>
    <n v="4"/>
    <n v="8"/>
    <n v="7"/>
    <x v="0"/>
    <x v="1"/>
  </r>
  <r>
    <x v="7"/>
    <x v="1"/>
    <x v="0"/>
    <n v="201"/>
    <x v="1"/>
    <x v="12"/>
    <n v="3"/>
    <x v="4"/>
    <n v="1"/>
    <n v="197"/>
    <n v="4"/>
    <x v="0"/>
    <x v="9"/>
    <n v="3"/>
    <n v="1"/>
    <x v="1"/>
    <n v="1"/>
    <x v="2"/>
    <x v="142"/>
    <n v="10415"/>
    <n v="5"/>
    <s v="Y"/>
    <x v="1"/>
    <n v="14"/>
    <n v="3"/>
    <n v="4"/>
    <n v="80"/>
    <n v="1"/>
    <n v="8"/>
    <n v="3"/>
    <n v="3"/>
    <n v="3"/>
    <n v="2"/>
    <x v="3"/>
    <x v="3"/>
  </r>
  <r>
    <x v="7"/>
    <x v="1"/>
    <x v="0"/>
    <n v="1427"/>
    <x v="1"/>
    <x v="2"/>
    <n v="1"/>
    <x v="2"/>
    <n v="1"/>
    <n v="198"/>
    <n v="2"/>
    <x v="1"/>
    <x v="58"/>
    <n v="2"/>
    <n v="1"/>
    <x v="2"/>
    <n v="4"/>
    <x v="0"/>
    <x v="143"/>
    <n v="11162"/>
    <n v="0"/>
    <s v="Y"/>
    <x v="1"/>
    <n v="13"/>
    <n v="3"/>
    <n v="4"/>
    <n v="80"/>
    <n v="0"/>
    <n v="6"/>
    <n v="3"/>
    <n v="3"/>
    <n v="5"/>
    <n v="3"/>
    <x v="1"/>
    <x v="3"/>
  </r>
  <r>
    <x v="0"/>
    <x v="1"/>
    <x v="1"/>
    <n v="857"/>
    <x v="1"/>
    <x v="17"/>
    <n v="3"/>
    <x v="0"/>
    <n v="1"/>
    <n v="199"/>
    <n v="4"/>
    <x v="1"/>
    <x v="59"/>
    <n v="2"/>
    <n v="4"/>
    <x v="5"/>
    <n v="1"/>
    <x v="2"/>
    <x v="144"/>
    <n v="12888"/>
    <n v="4"/>
    <s v="Y"/>
    <x v="1"/>
    <n v="13"/>
    <n v="3"/>
    <n v="2"/>
    <n v="80"/>
    <n v="1"/>
    <n v="21"/>
    <n v="2"/>
    <n v="2"/>
    <n v="7"/>
    <n v="6"/>
    <x v="4"/>
    <x v="1"/>
  </r>
  <r>
    <x v="0"/>
    <x v="1"/>
    <x v="0"/>
    <n v="933"/>
    <x v="1"/>
    <x v="14"/>
    <n v="4"/>
    <x v="0"/>
    <n v="1"/>
    <n v="200"/>
    <n v="3"/>
    <x v="1"/>
    <x v="0"/>
    <n v="3"/>
    <n v="1"/>
    <x v="2"/>
    <n v="1"/>
    <x v="1"/>
    <x v="145"/>
    <n v="6961"/>
    <n v="2"/>
    <s v="Y"/>
    <x v="1"/>
    <n v="21"/>
    <n v="4"/>
    <n v="4"/>
    <n v="80"/>
    <n v="1"/>
    <n v="7"/>
    <n v="2"/>
    <n v="3"/>
    <n v="5"/>
    <n v="0"/>
    <x v="1"/>
    <x v="10"/>
  </r>
  <r>
    <x v="37"/>
    <x v="1"/>
    <x v="0"/>
    <n v="1181"/>
    <x v="1"/>
    <x v="3"/>
    <n v="1"/>
    <x v="2"/>
    <n v="1"/>
    <n v="201"/>
    <n v="2"/>
    <x v="0"/>
    <x v="5"/>
    <n v="3"/>
    <n v="1"/>
    <x v="2"/>
    <n v="2"/>
    <x v="0"/>
    <x v="146"/>
    <n v="16102"/>
    <n v="1"/>
    <s v="Y"/>
    <x v="1"/>
    <n v="14"/>
    <n v="3"/>
    <n v="4"/>
    <n v="80"/>
    <n v="0"/>
    <n v="1"/>
    <n v="3"/>
    <n v="3"/>
    <n v="1"/>
    <n v="0"/>
    <x v="0"/>
    <x v="2"/>
  </r>
  <r>
    <x v="32"/>
    <x v="1"/>
    <x v="1"/>
    <n v="1395"/>
    <x v="1"/>
    <x v="9"/>
    <n v="3"/>
    <x v="2"/>
    <n v="1"/>
    <n v="202"/>
    <n v="2"/>
    <x v="0"/>
    <x v="60"/>
    <n v="3"/>
    <n v="2"/>
    <x v="1"/>
    <n v="2"/>
    <x v="2"/>
    <x v="147"/>
    <n v="8504"/>
    <n v="1"/>
    <s v="Y"/>
    <x v="1"/>
    <n v="11"/>
    <n v="3"/>
    <n v="1"/>
    <n v="80"/>
    <n v="1"/>
    <n v="20"/>
    <n v="2"/>
    <n v="3"/>
    <n v="20"/>
    <n v="7"/>
    <x v="3"/>
    <x v="15"/>
  </r>
  <r>
    <x v="10"/>
    <x v="1"/>
    <x v="0"/>
    <n v="662"/>
    <x v="0"/>
    <x v="0"/>
    <n v="5"/>
    <x v="3"/>
    <n v="1"/>
    <n v="204"/>
    <n v="3"/>
    <x v="1"/>
    <x v="0"/>
    <n v="3"/>
    <n v="3"/>
    <x v="0"/>
    <n v="2"/>
    <x v="1"/>
    <x v="148"/>
    <n v="11439"/>
    <n v="1"/>
    <s v="Y"/>
    <x v="1"/>
    <n v="13"/>
    <n v="3"/>
    <n v="1"/>
    <n v="80"/>
    <n v="2"/>
    <n v="10"/>
    <n v="3"/>
    <n v="3"/>
    <n v="10"/>
    <n v="8"/>
    <x v="0"/>
    <x v="4"/>
  </r>
  <r>
    <x v="16"/>
    <x v="1"/>
    <x v="0"/>
    <n v="1436"/>
    <x v="0"/>
    <x v="16"/>
    <n v="2"/>
    <x v="3"/>
    <n v="1"/>
    <n v="205"/>
    <n v="2"/>
    <x v="1"/>
    <x v="61"/>
    <n v="3"/>
    <n v="2"/>
    <x v="6"/>
    <n v="3"/>
    <x v="1"/>
    <x v="149"/>
    <n v="16047"/>
    <n v="2"/>
    <s v="Y"/>
    <x v="0"/>
    <n v="20"/>
    <n v="4"/>
    <n v="4"/>
    <n v="80"/>
    <n v="1"/>
    <n v="13"/>
    <n v="3"/>
    <n v="1"/>
    <n v="7"/>
    <n v="7"/>
    <x v="5"/>
    <x v="0"/>
  </r>
  <r>
    <x v="28"/>
    <x v="1"/>
    <x v="0"/>
    <n v="194"/>
    <x v="1"/>
    <x v="14"/>
    <n v="3"/>
    <x v="0"/>
    <n v="1"/>
    <n v="206"/>
    <n v="2"/>
    <x v="1"/>
    <x v="53"/>
    <n v="3"/>
    <n v="2"/>
    <x v="2"/>
    <n v="2"/>
    <x v="2"/>
    <x v="150"/>
    <n v="10901"/>
    <n v="8"/>
    <s v="Y"/>
    <x v="1"/>
    <n v="18"/>
    <n v="3"/>
    <n v="3"/>
    <n v="80"/>
    <n v="1"/>
    <n v="20"/>
    <n v="2"/>
    <n v="1"/>
    <n v="17"/>
    <n v="9"/>
    <x v="0"/>
    <x v="14"/>
  </r>
  <r>
    <x v="5"/>
    <x v="1"/>
    <x v="1"/>
    <n v="967"/>
    <x v="0"/>
    <x v="1"/>
    <n v="3"/>
    <x v="3"/>
    <n v="1"/>
    <n v="207"/>
    <n v="2"/>
    <x v="0"/>
    <x v="38"/>
    <n v="3"/>
    <n v="3"/>
    <x v="0"/>
    <n v="4"/>
    <x v="0"/>
    <x v="151"/>
    <n v="15589"/>
    <n v="1"/>
    <s v="Y"/>
    <x v="1"/>
    <n v="14"/>
    <n v="3"/>
    <n v="4"/>
    <n v="80"/>
    <n v="0"/>
    <n v="9"/>
    <n v="2"/>
    <n v="3"/>
    <n v="9"/>
    <n v="8"/>
    <x v="2"/>
    <x v="1"/>
  </r>
  <r>
    <x v="11"/>
    <x v="1"/>
    <x v="2"/>
    <n v="1496"/>
    <x v="1"/>
    <x v="0"/>
    <n v="1"/>
    <x v="4"/>
    <n v="1"/>
    <n v="208"/>
    <n v="4"/>
    <x v="1"/>
    <x v="26"/>
    <n v="3"/>
    <n v="2"/>
    <x v="3"/>
    <n v="3"/>
    <x v="1"/>
    <x v="152"/>
    <n v="26283"/>
    <n v="1"/>
    <s v="Y"/>
    <x v="1"/>
    <n v="13"/>
    <n v="3"/>
    <n v="1"/>
    <n v="80"/>
    <n v="1"/>
    <n v="10"/>
    <n v="1"/>
    <n v="3"/>
    <n v="10"/>
    <n v="7"/>
    <x v="0"/>
    <x v="12"/>
  </r>
  <r>
    <x v="31"/>
    <x v="1"/>
    <x v="0"/>
    <n v="1169"/>
    <x v="1"/>
    <x v="15"/>
    <n v="4"/>
    <x v="2"/>
    <n v="1"/>
    <n v="211"/>
    <n v="2"/>
    <x v="1"/>
    <x v="61"/>
    <n v="2"/>
    <n v="2"/>
    <x v="3"/>
    <n v="3"/>
    <x v="1"/>
    <x v="153"/>
    <n v="13983"/>
    <n v="2"/>
    <s v="Y"/>
    <x v="1"/>
    <n v="17"/>
    <n v="3"/>
    <n v="3"/>
    <n v="80"/>
    <n v="0"/>
    <n v="10"/>
    <n v="2"/>
    <n v="3"/>
    <n v="1"/>
    <n v="0"/>
    <x v="0"/>
    <x v="2"/>
  </r>
  <r>
    <x v="34"/>
    <x v="1"/>
    <x v="0"/>
    <n v="1145"/>
    <x v="1"/>
    <x v="14"/>
    <n v="3"/>
    <x v="2"/>
    <n v="1"/>
    <n v="214"/>
    <n v="2"/>
    <x v="0"/>
    <x v="29"/>
    <n v="2"/>
    <n v="1"/>
    <x v="1"/>
    <n v="2"/>
    <x v="1"/>
    <x v="154"/>
    <n v="11873"/>
    <n v="4"/>
    <s v="Y"/>
    <x v="0"/>
    <n v="20"/>
    <n v="4"/>
    <n v="2"/>
    <n v="80"/>
    <n v="1"/>
    <n v="9"/>
    <n v="3"/>
    <n v="2"/>
    <n v="1"/>
    <n v="0"/>
    <x v="0"/>
    <x v="2"/>
  </r>
  <r>
    <x v="32"/>
    <x v="1"/>
    <x v="0"/>
    <n v="630"/>
    <x v="0"/>
    <x v="18"/>
    <n v="4"/>
    <x v="3"/>
    <n v="1"/>
    <n v="215"/>
    <n v="3"/>
    <x v="1"/>
    <x v="7"/>
    <n v="2"/>
    <n v="3"/>
    <x v="0"/>
    <n v="4"/>
    <x v="1"/>
    <x v="155"/>
    <n v="8552"/>
    <n v="7"/>
    <s v="Y"/>
    <x v="1"/>
    <n v="11"/>
    <n v="3"/>
    <n v="1"/>
    <n v="80"/>
    <n v="1"/>
    <n v="15"/>
    <n v="2"/>
    <n v="2"/>
    <n v="12"/>
    <n v="11"/>
    <x v="3"/>
    <x v="7"/>
  </r>
  <r>
    <x v="13"/>
    <x v="1"/>
    <x v="1"/>
    <n v="303"/>
    <x v="0"/>
    <x v="2"/>
    <n v="4"/>
    <x v="3"/>
    <n v="1"/>
    <n v="216"/>
    <n v="3"/>
    <x v="0"/>
    <x v="29"/>
    <n v="3"/>
    <n v="1"/>
    <x v="6"/>
    <n v="3"/>
    <x v="1"/>
    <x v="156"/>
    <n v="11314"/>
    <n v="6"/>
    <s v="Y"/>
    <x v="1"/>
    <n v="18"/>
    <n v="3"/>
    <n v="4"/>
    <n v="80"/>
    <n v="1"/>
    <n v="6"/>
    <n v="3"/>
    <n v="3"/>
    <n v="4"/>
    <n v="3"/>
    <x v="1"/>
    <x v="3"/>
  </r>
  <r>
    <x v="15"/>
    <x v="1"/>
    <x v="0"/>
    <n v="1256"/>
    <x v="1"/>
    <x v="10"/>
    <n v="1"/>
    <x v="2"/>
    <n v="1"/>
    <n v="217"/>
    <n v="3"/>
    <x v="1"/>
    <x v="15"/>
    <n v="3"/>
    <n v="1"/>
    <x v="1"/>
    <n v="4"/>
    <x v="1"/>
    <x v="157"/>
    <n v="11992"/>
    <n v="1"/>
    <s v="Y"/>
    <x v="1"/>
    <n v="24"/>
    <n v="4"/>
    <n v="1"/>
    <n v="80"/>
    <n v="2"/>
    <n v="2"/>
    <n v="6"/>
    <n v="3"/>
    <n v="2"/>
    <n v="2"/>
    <x v="3"/>
    <x v="3"/>
  </r>
  <r>
    <x v="4"/>
    <x v="1"/>
    <x v="2"/>
    <n v="691"/>
    <x v="1"/>
    <x v="14"/>
    <n v="3"/>
    <x v="2"/>
    <n v="1"/>
    <n v="218"/>
    <n v="4"/>
    <x v="1"/>
    <x v="42"/>
    <n v="3"/>
    <n v="1"/>
    <x v="1"/>
    <n v="2"/>
    <x v="2"/>
    <x v="158"/>
    <n v="5970"/>
    <n v="6"/>
    <s v="Y"/>
    <x v="1"/>
    <n v="18"/>
    <n v="3"/>
    <n v="4"/>
    <n v="80"/>
    <n v="1"/>
    <n v="6"/>
    <n v="1"/>
    <n v="1"/>
    <n v="2"/>
    <n v="2"/>
    <x v="3"/>
    <x v="3"/>
  </r>
  <r>
    <x v="14"/>
    <x v="1"/>
    <x v="0"/>
    <n v="440"/>
    <x v="1"/>
    <x v="11"/>
    <n v="3"/>
    <x v="2"/>
    <n v="1"/>
    <n v="221"/>
    <n v="3"/>
    <x v="1"/>
    <x v="25"/>
    <n v="3"/>
    <n v="1"/>
    <x v="1"/>
    <n v="4"/>
    <x v="1"/>
    <x v="159"/>
    <n v="6672"/>
    <n v="1"/>
    <s v="Y"/>
    <x v="1"/>
    <n v="11"/>
    <n v="3"/>
    <n v="3"/>
    <n v="80"/>
    <n v="1"/>
    <n v="5"/>
    <n v="2"/>
    <n v="1"/>
    <n v="5"/>
    <n v="2"/>
    <x v="0"/>
    <x v="3"/>
  </r>
  <r>
    <x v="38"/>
    <x v="1"/>
    <x v="0"/>
    <n v="334"/>
    <x v="1"/>
    <x v="4"/>
    <n v="2"/>
    <x v="0"/>
    <n v="1"/>
    <n v="223"/>
    <n v="3"/>
    <x v="1"/>
    <x v="21"/>
    <n v="4"/>
    <n v="3"/>
    <x v="4"/>
    <n v="4"/>
    <x v="2"/>
    <x v="160"/>
    <n v="23402"/>
    <n v="3"/>
    <s v="Y"/>
    <x v="0"/>
    <n v="16"/>
    <n v="3"/>
    <n v="2"/>
    <n v="80"/>
    <n v="1"/>
    <n v="12"/>
    <n v="2"/>
    <n v="1"/>
    <n v="5"/>
    <n v="3"/>
    <x v="1"/>
    <x v="10"/>
  </r>
  <r>
    <x v="4"/>
    <x v="1"/>
    <x v="2"/>
    <n v="1450"/>
    <x v="1"/>
    <x v="3"/>
    <n v="3"/>
    <x v="2"/>
    <n v="1"/>
    <n v="224"/>
    <n v="3"/>
    <x v="1"/>
    <x v="5"/>
    <n v="2"/>
    <n v="1"/>
    <x v="1"/>
    <n v="3"/>
    <x v="2"/>
    <x v="161"/>
    <n v="25326"/>
    <n v="1"/>
    <s v="Y"/>
    <x v="0"/>
    <n v="15"/>
    <n v="3"/>
    <n v="4"/>
    <n v="80"/>
    <n v="1"/>
    <n v="1"/>
    <n v="2"/>
    <n v="2"/>
    <n v="1"/>
    <n v="1"/>
    <x v="0"/>
    <x v="9"/>
  </r>
  <r>
    <x v="24"/>
    <x v="1"/>
    <x v="0"/>
    <n v="1452"/>
    <x v="1"/>
    <x v="13"/>
    <n v="3"/>
    <x v="0"/>
    <n v="1"/>
    <n v="226"/>
    <n v="3"/>
    <x v="0"/>
    <x v="20"/>
    <n v="3"/>
    <n v="5"/>
    <x v="5"/>
    <n v="2"/>
    <x v="0"/>
    <x v="162"/>
    <n v="17053"/>
    <n v="3"/>
    <s v="Y"/>
    <x v="1"/>
    <n v="15"/>
    <n v="3"/>
    <n v="2"/>
    <n v="80"/>
    <n v="0"/>
    <n v="21"/>
    <n v="5"/>
    <n v="3"/>
    <n v="5"/>
    <n v="4"/>
    <x v="5"/>
    <x v="10"/>
  </r>
  <r>
    <x v="0"/>
    <x v="1"/>
    <x v="0"/>
    <n v="465"/>
    <x v="1"/>
    <x v="24"/>
    <n v="3"/>
    <x v="0"/>
    <n v="1"/>
    <n v="227"/>
    <n v="1"/>
    <x v="1"/>
    <x v="3"/>
    <n v="3"/>
    <n v="1"/>
    <x v="1"/>
    <n v="3"/>
    <x v="2"/>
    <x v="163"/>
    <n v="4609"/>
    <n v="4"/>
    <s v="Y"/>
    <x v="1"/>
    <n v="12"/>
    <n v="3"/>
    <n v="1"/>
    <n v="80"/>
    <n v="1"/>
    <n v="13"/>
    <n v="2"/>
    <n v="3"/>
    <n v="9"/>
    <n v="8"/>
    <x v="1"/>
    <x v="5"/>
  </r>
  <r>
    <x v="7"/>
    <x v="1"/>
    <x v="0"/>
    <n v="1339"/>
    <x v="0"/>
    <x v="12"/>
    <n v="3"/>
    <x v="0"/>
    <n v="1"/>
    <n v="228"/>
    <n v="2"/>
    <x v="0"/>
    <x v="26"/>
    <n v="3"/>
    <n v="3"/>
    <x v="0"/>
    <n v="4"/>
    <x v="1"/>
    <x v="164"/>
    <n v="8053"/>
    <n v="2"/>
    <s v="Y"/>
    <x v="1"/>
    <n v="12"/>
    <n v="3"/>
    <n v="3"/>
    <n v="80"/>
    <n v="1"/>
    <n v="12"/>
    <n v="2"/>
    <n v="3"/>
    <n v="10"/>
    <n v="9"/>
    <x v="4"/>
    <x v="10"/>
  </r>
  <r>
    <x v="8"/>
    <x v="1"/>
    <x v="0"/>
    <n v="702"/>
    <x v="0"/>
    <x v="0"/>
    <n v="4"/>
    <x v="0"/>
    <n v="1"/>
    <n v="230"/>
    <n v="1"/>
    <x v="0"/>
    <x v="40"/>
    <n v="2"/>
    <n v="2"/>
    <x v="0"/>
    <n v="4"/>
    <x v="0"/>
    <x v="165"/>
    <n v="12930"/>
    <n v="4"/>
    <s v="Y"/>
    <x v="1"/>
    <n v="22"/>
    <n v="4"/>
    <n v="3"/>
    <n v="80"/>
    <n v="0"/>
    <n v="12"/>
    <n v="2"/>
    <n v="4"/>
    <n v="8"/>
    <n v="3"/>
    <x v="0"/>
    <x v="1"/>
  </r>
  <r>
    <x v="5"/>
    <x v="1"/>
    <x v="0"/>
    <n v="120"/>
    <x v="1"/>
    <x v="16"/>
    <n v="5"/>
    <x v="0"/>
    <n v="1"/>
    <n v="231"/>
    <n v="3"/>
    <x v="1"/>
    <x v="38"/>
    <n v="3"/>
    <n v="1"/>
    <x v="1"/>
    <n v="3"/>
    <x v="0"/>
    <x v="71"/>
    <n v="12430"/>
    <n v="3"/>
    <s v="Y"/>
    <x v="1"/>
    <n v="20"/>
    <n v="4"/>
    <n v="1"/>
    <n v="80"/>
    <n v="0"/>
    <n v="8"/>
    <n v="2"/>
    <n v="3"/>
    <n v="5"/>
    <n v="4"/>
    <x v="1"/>
    <x v="10"/>
  </r>
  <r>
    <x v="4"/>
    <x v="1"/>
    <x v="0"/>
    <n v="1157"/>
    <x v="1"/>
    <x v="27"/>
    <n v="3"/>
    <x v="4"/>
    <n v="1"/>
    <n v="233"/>
    <n v="3"/>
    <x v="1"/>
    <x v="14"/>
    <n v="3"/>
    <n v="1"/>
    <x v="1"/>
    <n v="2"/>
    <x v="1"/>
    <x v="166"/>
    <n v="13364"/>
    <n v="0"/>
    <s v="Y"/>
    <x v="0"/>
    <n v="16"/>
    <n v="3"/>
    <n v="4"/>
    <n v="80"/>
    <n v="1"/>
    <n v="6"/>
    <n v="3"/>
    <n v="2"/>
    <n v="5"/>
    <n v="2"/>
    <x v="1"/>
    <x v="9"/>
  </r>
  <r>
    <x v="37"/>
    <x v="0"/>
    <x v="1"/>
    <n v="602"/>
    <x v="0"/>
    <x v="0"/>
    <n v="1"/>
    <x v="4"/>
    <n v="1"/>
    <n v="235"/>
    <n v="3"/>
    <x v="0"/>
    <x v="54"/>
    <n v="1"/>
    <n v="1"/>
    <x v="6"/>
    <n v="1"/>
    <x v="0"/>
    <x v="167"/>
    <n v="20989"/>
    <n v="0"/>
    <s v="Y"/>
    <x v="1"/>
    <n v="21"/>
    <n v="4"/>
    <n v="1"/>
    <n v="80"/>
    <n v="0"/>
    <n v="1"/>
    <n v="5"/>
    <n v="4"/>
    <n v="0"/>
    <n v="0"/>
    <x v="0"/>
    <x v="2"/>
  </r>
  <r>
    <x v="9"/>
    <x v="1"/>
    <x v="1"/>
    <n v="1480"/>
    <x v="1"/>
    <x v="3"/>
    <n v="2"/>
    <x v="2"/>
    <n v="1"/>
    <n v="238"/>
    <n v="4"/>
    <x v="1"/>
    <x v="37"/>
    <n v="3"/>
    <n v="1"/>
    <x v="2"/>
    <n v="2"/>
    <x v="0"/>
    <x v="168"/>
    <n v="15062"/>
    <n v="4"/>
    <s v="Y"/>
    <x v="1"/>
    <n v="12"/>
    <n v="3"/>
    <n v="3"/>
    <n v="80"/>
    <n v="0"/>
    <n v="13"/>
    <n v="3"/>
    <n v="2"/>
    <n v="8"/>
    <n v="7"/>
    <x v="4"/>
    <x v="3"/>
  </r>
  <r>
    <x v="7"/>
    <x v="1"/>
    <x v="2"/>
    <n v="111"/>
    <x v="1"/>
    <x v="14"/>
    <n v="3"/>
    <x v="2"/>
    <n v="1"/>
    <n v="239"/>
    <n v="3"/>
    <x v="1"/>
    <x v="45"/>
    <n v="3"/>
    <n v="2"/>
    <x v="2"/>
    <n v="1"/>
    <x v="2"/>
    <x v="169"/>
    <n v="11012"/>
    <n v="1"/>
    <s v="Y"/>
    <x v="1"/>
    <n v="11"/>
    <n v="3"/>
    <n v="3"/>
    <n v="80"/>
    <n v="2"/>
    <n v="12"/>
    <n v="4"/>
    <n v="3"/>
    <n v="12"/>
    <n v="9"/>
    <x v="7"/>
    <x v="13"/>
  </r>
  <r>
    <x v="28"/>
    <x v="1"/>
    <x v="0"/>
    <n v="1268"/>
    <x v="0"/>
    <x v="18"/>
    <n v="2"/>
    <x v="0"/>
    <n v="1"/>
    <n v="240"/>
    <n v="3"/>
    <x v="0"/>
    <x v="37"/>
    <n v="3"/>
    <n v="2"/>
    <x v="0"/>
    <n v="1"/>
    <x v="2"/>
    <x v="170"/>
    <n v="6319"/>
    <n v="4"/>
    <s v="Y"/>
    <x v="0"/>
    <n v="11"/>
    <n v="3"/>
    <n v="1"/>
    <n v="80"/>
    <n v="1"/>
    <n v="9"/>
    <n v="3"/>
    <n v="4"/>
    <n v="5"/>
    <n v="4"/>
    <x v="0"/>
    <x v="6"/>
  </r>
  <r>
    <x v="29"/>
    <x v="1"/>
    <x v="0"/>
    <n v="713"/>
    <x v="1"/>
    <x v="1"/>
    <n v="3"/>
    <x v="0"/>
    <n v="1"/>
    <n v="241"/>
    <n v="3"/>
    <x v="0"/>
    <x v="7"/>
    <n v="3"/>
    <n v="1"/>
    <x v="1"/>
    <n v="1"/>
    <x v="2"/>
    <x v="171"/>
    <n v="13939"/>
    <n v="4"/>
    <s v="Y"/>
    <x v="0"/>
    <n v="18"/>
    <n v="3"/>
    <n v="3"/>
    <n v="80"/>
    <n v="1"/>
    <n v="19"/>
    <n v="3"/>
    <n v="3"/>
    <n v="2"/>
    <n v="2"/>
    <x v="3"/>
    <x v="3"/>
  </r>
  <r>
    <x v="3"/>
    <x v="1"/>
    <x v="0"/>
    <n v="134"/>
    <x v="1"/>
    <x v="2"/>
    <n v="3"/>
    <x v="0"/>
    <n v="1"/>
    <n v="242"/>
    <n v="3"/>
    <x v="1"/>
    <x v="62"/>
    <n v="3"/>
    <n v="1"/>
    <x v="1"/>
    <n v="4"/>
    <x v="0"/>
    <x v="172"/>
    <n v="10515"/>
    <n v="0"/>
    <s v="Y"/>
    <x v="1"/>
    <n v="14"/>
    <n v="3"/>
    <n v="1"/>
    <n v="80"/>
    <n v="0"/>
    <n v="4"/>
    <n v="2"/>
    <n v="4"/>
    <n v="3"/>
    <n v="1"/>
    <x v="0"/>
    <x v="3"/>
  </r>
  <r>
    <x v="37"/>
    <x v="0"/>
    <x v="0"/>
    <n v="303"/>
    <x v="1"/>
    <x v="2"/>
    <n v="3"/>
    <x v="0"/>
    <n v="1"/>
    <n v="243"/>
    <n v="2"/>
    <x v="1"/>
    <x v="35"/>
    <n v="2"/>
    <n v="1"/>
    <x v="2"/>
    <n v="4"/>
    <x v="0"/>
    <x v="173"/>
    <n v="9241"/>
    <n v="1"/>
    <s v="Y"/>
    <x v="1"/>
    <n v="22"/>
    <n v="4"/>
    <n v="3"/>
    <n v="80"/>
    <n v="0"/>
    <n v="1"/>
    <n v="3"/>
    <n v="2"/>
    <n v="1"/>
    <n v="0"/>
    <x v="1"/>
    <x v="2"/>
  </r>
  <r>
    <x v="21"/>
    <x v="1"/>
    <x v="0"/>
    <n v="526"/>
    <x v="0"/>
    <x v="0"/>
    <n v="2"/>
    <x v="3"/>
    <n v="1"/>
    <n v="244"/>
    <n v="2"/>
    <x v="0"/>
    <x v="2"/>
    <n v="3"/>
    <n v="3"/>
    <x v="0"/>
    <n v="1"/>
    <x v="2"/>
    <x v="174"/>
    <n v="2137"/>
    <n v="1"/>
    <s v="Y"/>
    <x v="1"/>
    <n v="25"/>
    <n v="4"/>
    <n v="3"/>
    <n v="80"/>
    <n v="3"/>
    <n v="24"/>
    <n v="2"/>
    <n v="3"/>
    <n v="24"/>
    <n v="13"/>
    <x v="9"/>
    <x v="1"/>
  </r>
  <r>
    <x v="8"/>
    <x v="1"/>
    <x v="0"/>
    <n v="1380"/>
    <x v="1"/>
    <x v="14"/>
    <n v="2"/>
    <x v="0"/>
    <n v="1"/>
    <n v="245"/>
    <n v="3"/>
    <x v="0"/>
    <x v="29"/>
    <n v="3"/>
    <n v="1"/>
    <x v="2"/>
    <n v="4"/>
    <x v="0"/>
    <x v="175"/>
    <n v="6319"/>
    <n v="1"/>
    <s v="Y"/>
    <x v="1"/>
    <n v="12"/>
    <n v="3"/>
    <n v="3"/>
    <n v="80"/>
    <n v="0"/>
    <n v="2"/>
    <n v="3"/>
    <n v="3"/>
    <n v="2"/>
    <n v="2"/>
    <x v="3"/>
    <x v="9"/>
  </r>
  <r>
    <x v="12"/>
    <x v="1"/>
    <x v="0"/>
    <n v="140"/>
    <x v="1"/>
    <x v="20"/>
    <n v="1"/>
    <x v="2"/>
    <n v="1"/>
    <n v="246"/>
    <n v="3"/>
    <x v="0"/>
    <x v="41"/>
    <n v="3"/>
    <n v="1"/>
    <x v="1"/>
    <n v="4"/>
    <x v="1"/>
    <x v="176"/>
    <n v="6984"/>
    <n v="8"/>
    <s v="Y"/>
    <x v="0"/>
    <n v="23"/>
    <n v="4"/>
    <n v="3"/>
    <n v="80"/>
    <n v="1"/>
    <n v="7"/>
    <n v="0"/>
    <n v="3"/>
    <n v="4"/>
    <n v="2"/>
    <x v="0"/>
    <x v="3"/>
  </r>
  <r>
    <x v="13"/>
    <x v="1"/>
    <x v="0"/>
    <n v="629"/>
    <x v="1"/>
    <x v="6"/>
    <n v="2"/>
    <x v="2"/>
    <n v="1"/>
    <n v="247"/>
    <n v="4"/>
    <x v="0"/>
    <x v="41"/>
    <n v="3"/>
    <n v="1"/>
    <x v="1"/>
    <n v="2"/>
    <x v="0"/>
    <x v="177"/>
    <n v="5711"/>
    <n v="2"/>
    <s v="Y"/>
    <x v="1"/>
    <n v="15"/>
    <n v="3"/>
    <n v="4"/>
    <n v="80"/>
    <n v="0"/>
    <n v="9"/>
    <n v="3"/>
    <n v="3"/>
    <n v="3"/>
    <n v="2"/>
    <x v="1"/>
    <x v="3"/>
  </r>
  <r>
    <x v="0"/>
    <x v="0"/>
    <x v="0"/>
    <n v="1356"/>
    <x v="0"/>
    <x v="25"/>
    <n v="2"/>
    <x v="3"/>
    <n v="1"/>
    <n v="248"/>
    <n v="2"/>
    <x v="0"/>
    <x v="49"/>
    <n v="3"/>
    <n v="1"/>
    <x v="6"/>
    <n v="2"/>
    <x v="0"/>
    <x v="178"/>
    <n v="21728"/>
    <n v="1"/>
    <s v="Y"/>
    <x v="0"/>
    <n v="22"/>
    <n v="4"/>
    <n v="4"/>
    <n v="80"/>
    <n v="0"/>
    <n v="4"/>
    <n v="5"/>
    <n v="2"/>
    <n v="4"/>
    <n v="3"/>
    <x v="0"/>
    <x v="3"/>
  </r>
  <r>
    <x v="24"/>
    <x v="1"/>
    <x v="0"/>
    <n v="328"/>
    <x v="1"/>
    <x v="0"/>
    <n v="3"/>
    <x v="2"/>
    <n v="1"/>
    <n v="249"/>
    <n v="3"/>
    <x v="1"/>
    <x v="27"/>
    <n v="2"/>
    <n v="1"/>
    <x v="2"/>
    <n v="3"/>
    <x v="1"/>
    <x v="179"/>
    <n v="3425"/>
    <n v="2"/>
    <s v="Y"/>
    <x v="1"/>
    <n v="15"/>
    <n v="3"/>
    <n v="4"/>
    <n v="80"/>
    <n v="1"/>
    <n v="5"/>
    <n v="2"/>
    <n v="2"/>
    <n v="3"/>
    <n v="2"/>
    <x v="0"/>
    <x v="3"/>
  </r>
  <r>
    <x v="16"/>
    <x v="1"/>
    <x v="0"/>
    <n v="1084"/>
    <x v="1"/>
    <x v="28"/>
    <n v="2"/>
    <x v="2"/>
    <n v="1"/>
    <n v="250"/>
    <n v="4"/>
    <x v="0"/>
    <x v="42"/>
    <n v="4"/>
    <n v="2"/>
    <x v="3"/>
    <n v="1"/>
    <x v="2"/>
    <x v="180"/>
    <n v="26250"/>
    <n v="1"/>
    <s v="Y"/>
    <x v="1"/>
    <n v="11"/>
    <n v="3"/>
    <n v="3"/>
    <n v="80"/>
    <n v="2"/>
    <n v="5"/>
    <n v="3"/>
    <n v="3"/>
    <n v="4"/>
    <n v="2"/>
    <x v="1"/>
    <x v="6"/>
  </r>
  <r>
    <x v="3"/>
    <x v="1"/>
    <x v="0"/>
    <n v="931"/>
    <x v="1"/>
    <x v="24"/>
    <n v="3"/>
    <x v="2"/>
    <n v="1"/>
    <n v="252"/>
    <n v="4"/>
    <x v="0"/>
    <x v="23"/>
    <n v="3"/>
    <n v="1"/>
    <x v="1"/>
    <n v="2"/>
    <x v="1"/>
    <x v="181"/>
    <n v="4673"/>
    <n v="1"/>
    <s v="Y"/>
    <x v="1"/>
    <n v="13"/>
    <n v="3"/>
    <n v="4"/>
    <n v="80"/>
    <n v="1"/>
    <n v="8"/>
    <n v="5"/>
    <n v="3"/>
    <n v="8"/>
    <n v="7"/>
    <x v="1"/>
    <x v="4"/>
  </r>
  <r>
    <x v="32"/>
    <x v="1"/>
    <x v="0"/>
    <n v="989"/>
    <x v="1"/>
    <x v="18"/>
    <n v="1"/>
    <x v="2"/>
    <n v="1"/>
    <n v="253"/>
    <n v="4"/>
    <x v="0"/>
    <x v="55"/>
    <n v="3"/>
    <n v="5"/>
    <x v="5"/>
    <n v="3"/>
    <x v="1"/>
    <x v="182"/>
    <n v="6499"/>
    <n v="1"/>
    <s v="Y"/>
    <x v="1"/>
    <n v="14"/>
    <n v="3"/>
    <n v="2"/>
    <n v="80"/>
    <n v="1"/>
    <n v="21"/>
    <n v="2"/>
    <n v="3"/>
    <n v="20"/>
    <n v="8"/>
    <x v="10"/>
    <x v="12"/>
  </r>
  <r>
    <x v="27"/>
    <x v="1"/>
    <x v="0"/>
    <n v="692"/>
    <x v="1"/>
    <x v="24"/>
    <n v="4"/>
    <x v="2"/>
    <n v="1"/>
    <n v="254"/>
    <n v="3"/>
    <x v="1"/>
    <x v="1"/>
    <n v="4"/>
    <n v="5"/>
    <x v="7"/>
    <n v="2"/>
    <x v="0"/>
    <x v="183"/>
    <n v="13339"/>
    <n v="8"/>
    <s v="Y"/>
    <x v="1"/>
    <n v="11"/>
    <n v="3"/>
    <n v="4"/>
    <n v="80"/>
    <n v="0"/>
    <n v="36"/>
    <n v="3"/>
    <n v="3"/>
    <n v="24"/>
    <n v="15"/>
    <x v="3"/>
    <x v="14"/>
  </r>
  <r>
    <x v="13"/>
    <x v="1"/>
    <x v="1"/>
    <n v="1069"/>
    <x v="1"/>
    <x v="2"/>
    <n v="1"/>
    <x v="0"/>
    <n v="1"/>
    <n v="256"/>
    <n v="4"/>
    <x v="1"/>
    <x v="18"/>
    <n v="2"/>
    <n v="2"/>
    <x v="3"/>
    <n v="3"/>
    <x v="1"/>
    <x v="184"/>
    <n v="14074"/>
    <n v="1"/>
    <s v="Y"/>
    <x v="1"/>
    <n v="17"/>
    <n v="3"/>
    <n v="3"/>
    <n v="80"/>
    <n v="0"/>
    <n v="10"/>
    <n v="2"/>
    <n v="2"/>
    <n v="10"/>
    <n v="9"/>
    <x v="1"/>
    <x v="12"/>
  </r>
  <r>
    <x v="31"/>
    <x v="1"/>
    <x v="0"/>
    <n v="313"/>
    <x v="1"/>
    <x v="3"/>
    <n v="3"/>
    <x v="2"/>
    <n v="1"/>
    <n v="258"/>
    <n v="4"/>
    <x v="0"/>
    <x v="33"/>
    <n v="3"/>
    <n v="4"/>
    <x v="4"/>
    <n v="2"/>
    <x v="0"/>
    <x v="185"/>
    <n v="7192"/>
    <n v="3"/>
    <s v="Y"/>
    <x v="1"/>
    <n v="18"/>
    <n v="3"/>
    <n v="3"/>
    <n v="80"/>
    <n v="0"/>
    <n v="21"/>
    <n v="6"/>
    <n v="3"/>
    <n v="7"/>
    <n v="7"/>
    <x v="1"/>
    <x v="2"/>
  </r>
  <r>
    <x v="39"/>
    <x v="1"/>
    <x v="0"/>
    <n v="699"/>
    <x v="1"/>
    <x v="0"/>
    <n v="4"/>
    <x v="0"/>
    <n v="1"/>
    <n v="259"/>
    <n v="3"/>
    <x v="1"/>
    <x v="63"/>
    <n v="2"/>
    <n v="5"/>
    <x v="5"/>
    <n v="3"/>
    <x v="1"/>
    <x v="186"/>
    <n v="5678"/>
    <n v="0"/>
    <s v="Y"/>
    <x v="1"/>
    <n v="14"/>
    <n v="3"/>
    <n v="1"/>
    <n v="80"/>
    <n v="1"/>
    <n v="34"/>
    <n v="5"/>
    <n v="3"/>
    <n v="33"/>
    <n v="18"/>
    <x v="14"/>
    <x v="12"/>
  </r>
  <r>
    <x v="4"/>
    <x v="1"/>
    <x v="0"/>
    <n v="894"/>
    <x v="1"/>
    <x v="14"/>
    <n v="3"/>
    <x v="2"/>
    <n v="1"/>
    <n v="260"/>
    <n v="4"/>
    <x v="0"/>
    <x v="39"/>
    <n v="3"/>
    <n v="1"/>
    <x v="1"/>
    <n v="2"/>
    <x v="0"/>
    <x v="187"/>
    <n v="11781"/>
    <n v="1"/>
    <s v="Y"/>
    <x v="1"/>
    <n v="16"/>
    <n v="3"/>
    <n v="4"/>
    <n v="80"/>
    <n v="0"/>
    <n v="7"/>
    <n v="2"/>
    <n v="2"/>
    <n v="7"/>
    <n v="7"/>
    <x v="0"/>
    <x v="6"/>
  </r>
  <r>
    <x v="10"/>
    <x v="0"/>
    <x v="0"/>
    <n v="556"/>
    <x v="1"/>
    <x v="5"/>
    <n v="2"/>
    <x v="0"/>
    <n v="1"/>
    <n v="261"/>
    <n v="2"/>
    <x v="1"/>
    <x v="13"/>
    <n v="2"/>
    <n v="2"/>
    <x v="3"/>
    <n v="3"/>
    <x v="1"/>
    <x v="188"/>
    <n v="15497"/>
    <n v="3"/>
    <s v="Y"/>
    <x v="0"/>
    <n v="13"/>
    <n v="3"/>
    <n v="1"/>
    <n v="80"/>
    <n v="0"/>
    <n v="8"/>
    <n v="1"/>
    <n v="3"/>
    <n v="1"/>
    <n v="0"/>
    <x v="0"/>
    <x v="9"/>
  </r>
  <r>
    <x v="23"/>
    <x v="1"/>
    <x v="2"/>
    <n v="1344"/>
    <x v="1"/>
    <x v="15"/>
    <n v="3"/>
    <x v="2"/>
    <n v="1"/>
    <n v="262"/>
    <n v="4"/>
    <x v="1"/>
    <x v="31"/>
    <n v="4"/>
    <n v="1"/>
    <x v="1"/>
    <n v="4"/>
    <x v="2"/>
    <x v="189"/>
    <n v="5228"/>
    <n v="4"/>
    <s v="Y"/>
    <x v="1"/>
    <n v="14"/>
    <n v="3"/>
    <n v="4"/>
    <n v="80"/>
    <n v="3"/>
    <n v="7"/>
    <n v="3"/>
    <n v="4"/>
    <n v="5"/>
    <n v="4"/>
    <x v="3"/>
    <x v="3"/>
  </r>
  <r>
    <x v="28"/>
    <x v="1"/>
    <x v="2"/>
    <n v="1195"/>
    <x v="1"/>
    <x v="2"/>
    <n v="2"/>
    <x v="2"/>
    <n v="1"/>
    <n v="264"/>
    <n v="1"/>
    <x v="1"/>
    <x v="63"/>
    <n v="2"/>
    <n v="4"/>
    <x v="5"/>
    <n v="4"/>
    <x v="1"/>
    <x v="190"/>
    <n v="20462"/>
    <n v="9"/>
    <s v="Y"/>
    <x v="1"/>
    <n v="23"/>
    <n v="4"/>
    <n v="4"/>
    <n v="80"/>
    <n v="1"/>
    <n v="22"/>
    <n v="1"/>
    <n v="3"/>
    <n v="20"/>
    <n v="8"/>
    <x v="14"/>
    <x v="5"/>
  </r>
  <r>
    <x v="2"/>
    <x v="1"/>
    <x v="0"/>
    <n v="290"/>
    <x v="1"/>
    <x v="11"/>
    <n v="3"/>
    <x v="0"/>
    <n v="1"/>
    <n v="267"/>
    <n v="2"/>
    <x v="1"/>
    <x v="63"/>
    <n v="4"/>
    <n v="1"/>
    <x v="1"/>
    <n v="1"/>
    <x v="1"/>
    <x v="191"/>
    <n v="22977"/>
    <n v="1"/>
    <s v="Y"/>
    <x v="0"/>
    <n v="12"/>
    <n v="3"/>
    <n v="1"/>
    <n v="80"/>
    <n v="1"/>
    <n v="8"/>
    <n v="3"/>
    <n v="2"/>
    <n v="8"/>
    <n v="7"/>
    <x v="1"/>
    <x v="1"/>
  </r>
  <r>
    <x v="10"/>
    <x v="1"/>
    <x v="1"/>
    <n v="138"/>
    <x v="1"/>
    <x v="2"/>
    <n v="3"/>
    <x v="2"/>
    <n v="1"/>
    <n v="269"/>
    <n v="2"/>
    <x v="0"/>
    <x v="31"/>
    <n v="3"/>
    <n v="2"/>
    <x v="2"/>
    <n v="2"/>
    <x v="0"/>
    <x v="192"/>
    <n v="15986"/>
    <n v="5"/>
    <s v="Y"/>
    <x v="1"/>
    <n v="11"/>
    <n v="3"/>
    <n v="4"/>
    <n v="80"/>
    <n v="0"/>
    <n v="10"/>
    <n v="5"/>
    <n v="3"/>
    <n v="6"/>
    <n v="2"/>
    <x v="1"/>
    <x v="3"/>
  </r>
  <r>
    <x v="19"/>
    <x v="1"/>
    <x v="2"/>
    <n v="926"/>
    <x v="1"/>
    <x v="11"/>
    <n v="2"/>
    <x v="2"/>
    <n v="1"/>
    <n v="270"/>
    <n v="3"/>
    <x v="0"/>
    <x v="34"/>
    <n v="3"/>
    <n v="2"/>
    <x v="3"/>
    <n v="3"/>
    <x v="2"/>
    <x v="193"/>
    <n v="16439"/>
    <n v="2"/>
    <s v="Y"/>
    <x v="1"/>
    <n v="16"/>
    <n v="3"/>
    <n v="2"/>
    <n v="80"/>
    <n v="1"/>
    <n v="11"/>
    <n v="5"/>
    <n v="3"/>
    <n v="5"/>
    <n v="3"/>
    <x v="0"/>
    <x v="3"/>
  </r>
  <r>
    <x v="8"/>
    <x v="1"/>
    <x v="0"/>
    <n v="1261"/>
    <x v="1"/>
    <x v="2"/>
    <n v="4"/>
    <x v="0"/>
    <n v="1"/>
    <n v="271"/>
    <n v="4"/>
    <x v="1"/>
    <x v="64"/>
    <n v="3"/>
    <n v="2"/>
    <x v="3"/>
    <n v="3"/>
    <x v="1"/>
    <x v="194"/>
    <n v="7259"/>
    <n v="9"/>
    <s v="Y"/>
    <x v="1"/>
    <n v="14"/>
    <n v="3"/>
    <n v="2"/>
    <n v="80"/>
    <n v="0"/>
    <n v="14"/>
    <n v="3"/>
    <n v="3"/>
    <n v="1"/>
    <n v="0"/>
    <x v="0"/>
    <x v="2"/>
  </r>
  <r>
    <x v="8"/>
    <x v="1"/>
    <x v="0"/>
    <n v="1084"/>
    <x v="1"/>
    <x v="22"/>
    <n v="3"/>
    <x v="4"/>
    <n v="1"/>
    <n v="273"/>
    <n v="4"/>
    <x v="1"/>
    <x v="60"/>
    <n v="3"/>
    <n v="2"/>
    <x v="3"/>
    <n v="4"/>
    <x v="1"/>
    <x v="195"/>
    <n v="4185"/>
    <n v="3"/>
    <s v="Y"/>
    <x v="1"/>
    <n v="18"/>
    <n v="3"/>
    <n v="1"/>
    <n v="80"/>
    <n v="1"/>
    <n v="9"/>
    <n v="3"/>
    <n v="1"/>
    <n v="7"/>
    <n v="7"/>
    <x v="1"/>
    <x v="1"/>
  </r>
  <r>
    <x v="4"/>
    <x v="1"/>
    <x v="1"/>
    <n v="472"/>
    <x v="1"/>
    <x v="0"/>
    <n v="1"/>
    <x v="4"/>
    <n v="1"/>
    <n v="274"/>
    <n v="3"/>
    <x v="1"/>
    <x v="53"/>
    <n v="2"/>
    <n v="2"/>
    <x v="3"/>
    <n v="1"/>
    <x v="1"/>
    <x v="196"/>
    <n v="9679"/>
    <n v="5"/>
    <s v="Y"/>
    <x v="1"/>
    <n v="19"/>
    <n v="3"/>
    <n v="3"/>
    <n v="80"/>
    <n v="1"/>
    <n v="6"/>
    <n v="1"/>
    <n v="3"/>
    <n v="2"/>
    <n v="2"/>
    <x v="3"/>
    <x v="2"/>
  </r>
  <r>
    <x v="1"/>
    <x v="1"/>
    <x v="2"/>
    <n v="1002"/>
    <x v="1"/>
    <x v="21"/>
    <n v="4"/>
    <x v="0"/>
    <n v="1"/>
    <n v="275"/>
    <n v="4"/>
    <x v="1"/>
    <x v="2"/>
    <n v="3"/>
    <n v="2"/>
    <x v="3"/>
    <n v="4"/>
    <x v="2"/>
    <x v="197"/>
    <n v="23793"/>
    <n v="1"/>
    <s v="Y"/>
    <x v="0"/>
    <n v="15"/>
    <n v="3"/>
    <n v="1"/>
    <n v="80"/>
    <n v="2"/>
    <n v="7"/>
    <n v="0"/>
    <n v="3"/>
    <n v="7"/>
    <n v="7"/>
    <x v="1"/>
    <x v="1"/>
  </r>
  <r>
    <x v="13"/>
    <x v="1"/>
    <x v="1"/>
    <n v="878"/>
    <x v="1"/>
    <x v="17"/>
    <n v="4"/>
    <x v="2"/>
    <n v="1"/>
    <n v="277"/>
    <n v="4"/>
    <x v="1"/>
    <x v="38"/>
    <n v="3"/>
    <n v="1"/>
    <x v="1"/>
    <n v="3"/>
    <x v="2"/>
    <x v="198"/>
    <n v="5972"/>
    <n v="1"/>
    <s v="Y"/>
    <x v="0"/>
    <n v="17"/>
    <n v="3"/>
    <n v="4"/>
    <n v="80"/>
    <n v="1"/>
    <n v="5"/>
    <n v="4"/>
    <n v="4"/>
    <n v="5"/>
    <n v="3"/>
    <x v="3"/>
    <x v="2"/>
  </r>
  <r>
    <x v="32"/>
    <x v="1"/>
    <x v="0"/>
    <n v="905"/>
    <x v="1"/>
    <x v="10"/>
    <n v="2"/>
    <x v="2"/>
    <n v="1"/>
    <n v="281"/>
    <n v="3"/>
    <x v="1"/>
    <x v="39"/>
    <n v="3"/>
    <n v="2"/>
    <x v="2"/>
    <n v="4"/>
    <x v="1"/>
    <x v="199"/>
    <n v="16523"/>
    <n v="8"/>
    <s v="Y"/>
    <x v="0"/>
    <n v="15"/>
    <n v="3"/>
    <n v="3"/>
    <n v="80"/>
    <n v="1"/>
    <n v="15"/>
    <n v="2"/>
    <n v="4"/>
    <n v="7"/>
    <n v="2"/>
    <x v="2"/>
    <x v="1"/>
  </r>
  <r>
    <x v="8"/>
    <x v="0"/>
    <x v="0"/>
    <n v="1180"/>
    <x v="1"/>
    <x v="22"/>
    <n v="1"/>
    <x v="2"/>
    <n v="1"/>
    <n v="282"/>
    <n v="2"/>
    <x v="1"/>
    <x v="49"/>
    <n v="3"/>
    <n v="2"/>
    <x v="4"/>
    <n v="1"/>
    <x v="1"/>
    <x v="200"/>
    <n v="11354"/>
    <n v="7"/>
    <s v="Y"/>
    <x v="0"/>
    <n v="19"/>
    <n v="3"/>
    <n v="2"/>
    <n v="80"/>
    <n v="0"/>
    <n v="17"/>
    <n v="2"/>
    <n v="3"/>
    <n v="1"/>
    <n v="0"/>
    <x v="0"/>
    <x v="2"/>
  </r>
  <r>
    <x v="11"/>
    <x v="0"/>
    <x v="0"/>
    <n v="121"/>
    <x v="0"/>
    <x v="6"/>
    <n v="3"/>
    <x v="3"/>
    <n v="1"/>
    <n v="283"/>
    <n v="2"/>
    <x v="0"/>
    <x v="58"/>
    <n v="3"/>
    <n v="3"/>
    <x v="0"/>
    <n v="4"/>
    <x v="1"/>
    <x v="201"/>
    <n v="24525"/>
    <n v="1"/>
    <s v="Y"/>
    <x v="1"/>
    <n v="22"/>
    <n v="4"/>
    <n v="4"/>
    <n v="80"/>
    <n v="3"/>
    <n v="10"/>
    <n v="3"/>
    <n v="2"/>
    <n v="10"/>
    <n v="4"/>
    <x v="1"/>
    <x v="12"/>
  </r>
  <r>
    <x v="15"/>
    <x v="1"/>
    <x v="0"/>
    <n v="1136"/>
    <x v="1"/>
    <x v="12"/>
    <n v="3"/>
    <x v="0"/>
    <n v="1"/>
    <n v="284"/>
    <n v="4"/>
    <x v="1"/>
    <x v="53"/>
    <n v="4"/>
    <n v="1"/>
    <x v="1"/>
    <n v="2"/>
    <x v="2"/>
    <x v="202"/>
    <n v="12392"/>
    <n v="1"/>
    <s v="Y"/>
    <x v="0"/>
    <n v="16"/>
    <n v="3"/>
    <n v="1"/>
    <n v="80"/>
    <n v="1"/>
    <n v="4"/>
    <n v="2"/>
    <n v="2"/>
    <n v="4"/>
    <n v="2"/>
    <x v="3"/>
    <x v="3"/>
  </r>
  <r>
    <x v="9"/>
    <x v="1"/>
    <x v="1"/>
    <n v="635"/>
    <x v="1"/>
    <x v="21"/>
    <n v="1"/>
    <x v="2"/>
    <n v="1"/>
    <n v="286"/>
    <n v="2"/>
    <x v="0"/>
    <x v="32"/>
    <n v="3"/>
    <n v="1"/>
    <x v="2"/>
    <n v="4"/>
    <x v="0"/>
    <x v="203"/>
    <n v="7703"/>
    <n v="1"/>
    <s v="Y"/>
    <x v="1"/>
    <n v="13"/>
    <n v="3"/>
    <n v="1"/>
    <n v="80"/>
    <n v="0"/>
    <n v="8"/>
    <n v="2"/>
    <n v="3"/>
    <n v="8"/>
    <n v="1"/>
    <x v="1"/>
    <x v="1"/>
  </r>
  <r>
    <x v="32"/>
    <x v="1"/>
    <x v="2"/>
    <n v="1151"/>
    <x v="1"/>
    <x v="14"/>
    <n v="5"/>
    <x v="0"/>
    <n v="1"/>
    <n v="287"/>
    <n v="4"/>
    <x v="1"/>
    <x v="52"/>
    <n v="2"/>
    <n v="2"/>
    <x v="4"/>
    <n v="4"/>
    <x v="1"/>
    <x v="204"/>
    <n v="14242"/>
    <n v="9"/>
    <s v="Y"/>
    <x v="1"/>
    <n v="14"/>
    <n v="3"/>
    <n v="4"/>
    <n v="80"/>
    <n v="1"/>
    <n v="5"/>
    <n v="5"/>
    <n v="1"/>
    <n v="3"/>
    <n v="2"/>
    <x v="0"/>
    <x v="3"/>
  </r>
  <r>
    <x v="21"/>
    <x v="1"/>
    <x v="0"/>
    <n v="644"/>
    <x v="1"/>
    <x v="0"/>
    <n v="4"/>
    <x v="2"/>
    <n v="1"/>
    <n v="288"/>
    <n v="4"/>
    <x v="1"/>
    <x v="28"/>
    <n v="3"/>
    <n v="3"/>
    <x v="4"/>
    <n v="1"/>
    <x v="2"/>
    <x v="205"/>
    <n v="12368"/>
    <n v="7"/>
    <s v="Y"/>
    <x v="1"/>
    <n v="16"/>
    <n v="3"/>
    <n v="3"/>
    <n v="80"/>
    <n v="1"/>
    <n v="17"/>
    <n v="3"/>
    <n v="3"/>
    <n v="4"/>
    <n v="2"/>
    <x v="0"/>
    <x v="6"/>
  </r>
  <r>
    <x v="5"/>
    <x v="0"/>
    <x v="0"/>
    <n v="1045"/>
    <x v="0"/>
    <x v="18"/>
    <n v="4"/>
    <x v="2"/>
    <n v="1"/>
    <n v="291"/>
    <n v="4"/>
    <x v="1"/>
    <x v="47"/>
    <n v="1"/>
    <n v="3"/>
    <x v="0"/>
    <n v="4"/>
    <x v="1"/>
    <x v="206"/>
    <n v="25812"/>
    <n v="1"/>
    <s v="Y"/>
    <x v="1"/>
    <n v="11"/>
    <n v="3"/>
    <n v="3"/>
    <n v="80"/>
    <n v="0"/>
    <n v="14"/>
    <n v="2"/>
    <n v="2"/>
    <n v="14"/>
    <n v="8"/>
    <x v="10"/>
    <x v="5"/>
  </r>
  <r>
    <x v="7"/>
    <x v="1"/>
    <x v="2"/>
    <n v="829"/>
    <x v="1"/>
    <x v="0"/>
    <n v="1"/>
    <x v="0"/>
    <n v="1"/>
    <n v="292"/>
    <n v="3"/>
    <x v="1"/>
    <x v="64"/>
    <n v="2"/>
    <n v="3"/>
    <x v="3"/>
    <n v="3"/>
    <x v="0"/>
    <x v="207"/>
    <n v="20925"/>
    <n v="1"/>
    <s v="Y"/>
    <x v="1"/>
    <n v="22"/>
    <n v="4"/>
    <n v="3"/>
    <n v="80"/>
    <n v="0"/>
    <n v="12"/>
    <n v="2"/>
    <n v="3"/>
    <n v="11"/>
    <n v="8"/>
    <x v="8"/>
    <x v="5"/>
  </r>
  <r>
    <x v="4"/>
    <x v="1"/>
    <x v="1"/>
    <n v="1242"/>
    <x v="0"/>
    <x v="25"/>
    <n v="3"/>
    <x v="0"/>
    <n v="1"/>
    <n v="293"/>
    <n v="4"/>
    <x v="0"/>
    <x v="62"/>
    <n v="3"/>
    <n v="2"/>
    <x v="0"/>
    <n v="3"/>
    <x v="0"/>
    <x v="208"/>
    <n v="12916"/>
    <n v="1"/>
    <s v="Y"/>
    <x v="1"/>
    <n v="14"/>
    <n v="3"/>
    <n v="4"/>
    <n v="80"/>
    <n v="0"/>
    <n v="7"/>
    <n v="2"/>
    <n v="3"/>
    <n v="7"/>
    <n v="7"/>
    <x v="0"/>
    <x v="1"/>
  </r>
  <r>
    <x v="31"/>
    <x v="1"/>
    <x v="0"/>
    <n v="1469"/>
    <x v="1"/>
    <x v="1"/>
    <n v="4"/>
    <x v="0"/>
    <n v="1"/>
    <n v="296"/>
    <n v="2"/>
    <x v="1"/>
    <x v="6"/>
    <n v="2"/>
    <n v="3"/>
    <x v="7"/>
    <n v="2"/>
    <x v="1"/>
    <x v="209"/>
    <n v="15736"/>
    <n v="5"/>
    <s v="Y"/>
    <x v="1"/>
    <n v="16"/>
    <n v="3"/>
    <n v="4"/>
    <n v="80"/>
    <n v="2"/>
    <n v="16"/>
    <n v="5"/>
    <n v="1"/>
    <n v="10"/>
    <n v="9"/>
    <x v="5"/>
    <x v="1"/>
  </r>
  <r>
    <x v="7"/>
    <x v="0"/>
    <x v="0"/>
    <n v="1005"/>
    <x v="1"/>
    <x v="3"/>
    <n v="3"/>
    <x v="4"/>
    <n v="1"/>
    <n v="297"/>
    <n v="4"/>
    <x v="0"/>
    <x v="64"/>
    <n v="3"/>
    <n v="1"/>
    <x v="1"/>
    <n v="1"/>
    <x v="0"/>
    <x v="210"/>
    <n v="8556"/>
    <n v="5"/>
    <s v="Y"/>
    <x v="0"/>
    <n v="11"/>
    <n v="3"/>
    <n v="3"/>
    <n v="80"/>
    <n v="0"/>
    <n v="8"/>
    <n v="5"/>
    <n v="3"/>
    <n v="5"/>
    <n v="2"/>
    <x v="0"/>
    <x v="10"/>
  </r>
  <r>
    <x v="0"/>
    <x v="1"/>
    <x v="0"/>
    <n v="896"/>
    <x v="0"/>
    <x v="16"/>
    <n v="3"/>
    <x v="0"/>
    <n v="1"/>
    <n v="298"/>
    <n v="4"/>
    <x v="0"/>
    <x v="29"/>
    <n v="3"/>
    <n v="3"/>
    <x v="5"/>
    <n v="4"/>
    <x v="0"/>
    <x v="211"/>
    <n v="14674"/>
    <n v="3"/>
    <s v="Y"/>
    <x v="0"/>
    <n v="18"/>
    <n v="3"/>
    <n v="3"/>
    <n v="80"/>
    <n v="0"/>
    <n v="16"/>
    <n v="3"/>
    <n v="3"/>
    <n v="1"/>
    <n v="0"/>
    <x v="0"/>
    <x v="2"/>
  </r>
  <r>
    <x v="7"/>
    <x v="0"/>
    <x v="1"/>
    <n v="334"/>
    <x v="0"/>
    <x v="9"/>
    <n v="4"/>
    <x v="3"/>
    <n v="1"/>
    <n v="299"/>
    <n v="3"/>
    <x v="0"/>
    <x v="48"/>
    <n v="2"/>
    <n v="2"/>
    <x v="0"/>
    <n v="1"/>
    <x v="0"/>
    <x v="212"/>
    <n v="22967"/>
    <n v="5"/>
    <s v="Y"/>
    <x v="1"/>
    <n v="15"/>
    <n v="3"/>
    <n v="3"/>
    <n v="80"/>
    <n v="0"/>
    <n v="9"/>
    <n v="5"/>
    <n v="2"/>
    <n v="6"/>
    <n v="3"/>
    <x v="0"/>
    <x v="9"/>
  </r>
  <r>
    <x v="11"/>
    <x v="0"/>
    <x v="0"/>
    <n v="992"/>
    <x v="1"/>
    <x v="0"/>
    <n v="3"/>
    <x v="4"/>
    <n v="1"/>
    <n v="300"/>
    <n v="3"/>
    <x v="1"/>
    <x v="65"/>
    <n v="3"/>
    <n v="1"/>
    <x v="1"/>
    <n v="3"/>
    <x v="0"/>
    <x v="213"/>
    <n v="19757"/>
    <n v="0"/>
    <s v="Y"/>
    <x v="1"/>
    <n v="14"/>
    <n v="3"/>
    <n v="4"/>
    <n v="80"/>
    <n v="0"/>
    <n v="7"/>
    <n v="1"/>
    <n v="2"/>
    <n v="6"/>
    <n v="2"/>
    <x v="1"/>
    <x v="0"/>
  </r>
  <r>
    <x v="28"/>
    <x v="1"/>
    <x v="2"/>
    <n v="1052"/>
    <x v="0"/>
    <x v="16"/>
    <n v="3"/>
    <x v="2"/>
    <n v="1"/>
    <n v="302"/>
    <n v="4"/>
    <x v="0"/>
    <x v="42"/>
    <n v="2"/>
    <n v="3"/>
    <x v="0"/>
    <n v="4"/>
    <x v="0"/>
    <x v="214"/>
    <n v="16840"/>
    <n v="6"/>
    <s v="Y"/>
    <x v="1"/>
    <n v="12"/>
    <n v="3"/>
    <n v="4"/>
    <n v="80"/>
    <n v="0"/>
    <n v="23"/>
    <n v="2"/>
    <n v="3"/>
    <n v="19"/>
    <n v="7"/>
    <x v="12"/>
    <x v="5"/>
  </r>
  <r>
    <x v="33"/>
    <x v="1"/>
    <x v="0"/>
    <n v="1147"/>
    <x v="0"/>
    <x v="3"/>
    <n v="3"/>
    <x v="3"/>
    <n v="1"/>
    <n v="303"/>
    <n v="4"/>
    <x v="0"/>
    <x v="48"/>
    <n v="3"/>
    <n v="2"/>
    <x v="0"/>
    <n v="1"/>
    <x v="1"/>
    <x v="215"/>
    <n v="17011"/>
    <n v="2"/>
    <s v="Y"/>
    <x v="1"/>
    <n v="14"/>
    <n v="3"/>
    <n v="4"/>
    <n v="80"/>
    <n v="1"/>
    <n v="16"/>
    <n v="4"/>
    <n v="3"/>
    <n v="6"/>
    <n v="2"/>
    <x v="0"/>
    <x v="0"/>
  </r>
  <r>
    <x v="9"/>
    <x v="1"/>
    <x v="0"/>
    <n v="1396"/>
    <x v="1"/>
    <x v="12"/>
    <n v="2"/>
    <x v="0"/>
    <n v="1"/>
    <n v="304"/>
    <n v="4"/>
    <x v="1"/>
    <x v="50"/>
    <n v="3"/>
    <n v="2"/>
    <x v="2"/>
    <n v="2"/>
    <x v="0"/>
    <x v="216"/>
    <n v="9945"/>
    <n v="8"/>
    <s v="Y"/>
    <x v="1"/>
    <n v="16"/>
    <n v="3"/>
    <n v="4"/>
    <n v="80"/>
    <n v="0"/>
    <n v="16"/>
    <n v="3"/>
    <n v="4"/>
    <n v="13"/>
    <n v="11"/>
    <x v="2"/>
    <x v="1"/>
  </r>
  <r>
    <x v="3"/>
    <x v="1"/>
    <x v="0"/>
    <n v="147"/>
    <x v="1"/>
    <x v="18"/>
    <n v="4"/>
    <x v="2"/>
    <n v="1"/>
    <n v="305"/>
    <n v="3"/>
    <x v="0"/>
    <x v="35"/>
    <n v="2"/>
    <n v="1"/>
    <x v="1"/>
    <n v="2"/>
    <x v="1"/>
    <x v="217"/>
    <n v="13248"/>
    <n v="6"/>
    <s v="Y"/>
    <x v="1"/>
    <n v="21"/>
    <n v="4"/>
    <n v="4"/>
    <n v="80"/>
    <n v="0"/>
    <n v="7"/>
    <n v="3"/>
    <n v="3"/>
    <n v="3"/>
    <n v="2"/>
    <x v="1"/>
    <x v="9"/>
  </r>
  <r>
    <x v="2"/>
    <x v="1"/>
    <x v="1"/>
    <n v="663"/>
    <x v="1"/>
    <x v="13"/>
    <n v="3"/>
    <x v="1"/>
    <n v="1"/>
    <n v="306"/>
    <n v="2"/>
    <x v="1"/>
    <x v="35"/>
    <n v="3"/>
    <n v="3"/>
    <x v="7"/>
    <n v="4"/>
    <x v="2"/>
    <x v="218"/>
    <n v="10056"/>
    <n v="1"/>
    <s v="Y"/>
    <x v="0"/>
    <n v="14"/>
    <n v="3"/>
    <n v="3"/>
    <n v="80"/>
    <n v="3"/>
    <n v="10"/>
    <n v="1"/>
    <n v="3"/>
    <n v="10"/>
    <n v="8"/>
    <x v="0"/>
    <x v="1"/>
  </r>
  <r>
    <x v="8"/>
    <x v="1"/>
    <x v="0"/>
    <n v="119"/>
    <x v="0"/>
    <x v="3"/>
    <n v="3"/>
    <x v="0"/>
    <n v="1"/>
    <n v="307"/>
    <n v="1"/>
    <x v="1"/>
    <x v="43"/>
    <n v="3"/>
    <n v="3"/>
    <x v="0"/>
    <n v="3"/>
    <x v="2"/>
    <x v="219"/>
    <n v="9647"/>
    <n v="0"/>
    <s v="Y"/>
    <x v="1"/>
    <n v="12"/>
    <n v="3"/>
    <n v="3"/>
    <n v="80"/>
    <n v="2"/>
    <n v="17"/>
    <n v="6"/>
    <n v="2"/>
    <n v="16"/>
    <n v="10"/>
    <x v="8"/>
    <x v="15"/>
  </r>
  <r>
    <x v="12"/>
    <x v="1"/>
    <x v="2"/>
    <n v="979"/>
    <x v="1"/>
    <x v="0"/>
    <n v="4"/>
    <x v="2"/>
    <n v="1"/>
    <n v="308"/>
    <n v="3"/>
    <x v="1"/>
    <x v="62"/>
    <n v="1"/>
    <n v="2"/>
    <x v="3"/>
    <n v="3"/>
    <x v="1"/>
    <x v="220"/>
    <n v="4381"/>
    <n v="0"/>
    <s v="Y"/>
    <x v="1"/>
    <n v="12"/>
    <n v="3"/>
    <n v="4"/>
    <n v="80"/>
    <n v="1"/>
    <n v="6"/>
    <n v="2"/>
    <n v="3"/>
    <n v="5"/>
    <n v="4"/>
    <x v="1"/>
    <x v="10"/>
  </r>
  <r>
    <x v="6"/>
    <x v="1"/>
    <x v="0"/>
    <n v="142"/>
    <x v="1"/>
    <x v="3"/>
    <n v="3"/>
    <x v="0"/>
    <n v="1"/>
    <n v="309"/>
    <n v="3"/>
    <x v="1"/>
    <x v="49"/>
    <n v="2"/>
    <n v="1"/>
    <x v="1"/>
    <n v="4"/>
    <x v="1"/>
    <x v="221"/>
    <n v="8456"/>
    <n v="3"/>
    <s v="Y"/>
    <x v="1"/>
    <n v="17"/>
    <n v="3"/>
    <n v="1"/>
    <n v="80"/>
    <n v="1"/>
    <n v="7"/>
    <n v="6"/>
    <n v="3"/>
    <n v="1"/>
    <n v="0"/>
    <x v="0"/>
    <x v="2"/>
  </r>
  <r>
    <x v="2"/>
    <x v="1"/>
    <x v="1"/>
    <n v="319"/>
    <x v="0"/>
    <x v="18"/>
    <n v="4"/>
    <x v="3"/>
    <n v="1"/>
    <n v="311"/>
    <n v="1"/>
    <x v="1"/>
    <x v="26"/>
    <n v="3"/>
    <n v="1"/>
    <x v="6"/>
    <n v="4"/>
    <x v="2"/>
    <x v="222"/>
    <n v="2539"/>
    <n v="4"/>
    <s v="Y"/>
    <x v="1"/>
    <n v="17"/>
    <n v="3"/>
    <n v="3"/>
    <n v="80"/>
    <n v="1"/>
    <n v="13"/>
    <n v="2"/>
    <n v="3"/>
    <n v="9"/>
    <n v="8"/>
    <x v="8"/>
    <x v="5"/>
  </r>
  <r>
    <x v="11"/>
    <x v="1"/>
    <x v="1"/>
    <n v="1413"/>
    <x v="0"/>
    <x v="0"/>
    <n v="1"/>
    <x v="2"/>
    <n v="1"/>
    <n v="312"/>
    <n v="2"/>
    <x v="0"/>
    <x v="25"/>
    <n v="3"/>
    <n v="3"/>
    <x v="0"/>
    <n v="4"/>
    <x v="1"/>
    <x v="223"/>
    <n v="6599"/>
    <n v="1"/>
    <s v="Y"/>
    <x v="1"/>
    <n v="14"/>
    <n v="3"/>
    <n v="4"/>
    <n v="80"/>
    <n v="1"/>
    <n v="11"/>
    <n v="5"/>
    <n v="3"/>
    <n v="11"/>
    <n v="10"/>
    <x v="5"/>
    <x v="9"/>
  </r>
  <r>
    <x v="10"/>
    <x v="1"/>
    <x v="1"/>
    <n v="944"/>
    <x v="0"/>
    <x v="0"/>
    <n v="3"/>
    <x v="3"/>
    <n v="1"/>
    <n v="314"/>
    <n v="3"/>
    <x v="0"/>
    <x v="2"/>
    <n v="3"/>
    <n v="3"/>
    <x v="0"/>
    <n v="3"/>
    <x v="0"/>
    <x v="224"/>
    <n v="9096"/>
    <n v="1"/>
    <s v="Y"/>
    <x v="1"/>
    <n v="14"/>
    <n v="3"/>
    <n v="1"/>
    <n v="80"/>
    <n v="0"/>
    <n v="10"/>
    <n v="3"/>
    <n v="4"/>
    <n v="10"/>
    <n v="7"/>
    <x v="0"/>
    <x v="5"/>
  </r>
  <r>
    <x v="11"/>
    <x v="0"/>
    <x v="0"/>
    <n v="896"/>
    <x v="1"/>
    <x v="21"/>
    <n v="1"/>
    <x v="2"/>
    <n v="1"/>
    <n v="315"/>
    <n v="3"/>
    <x v="1"/>
    <x v="27"/>
    <n v="2"/>
    <n v="1"/>
    <x v="1"/>
    <n v="4"/>
    <x v="0"/>
    <x v="225"/>
    <n v="14961"/>
    <n v="1"/>
    <s v="Y"/>
    <x v="0"/>
    <n v="13"/>
    <n v="3"/>
    <n v="3"/>
    <n v="80"/>
    <n v="0"/>
    <n v="4"/>
    <n v="3"/>
    <n v="2"/>
    <n v="4"/>
    <n v="3"/>
    <x v="0"/>
    <x v="9"/>
  </r>
  <r>
    <x v="39"/>
    <x v="1"/>
    <x v="0"/>
    <n v="1323"/>
    <x v="1"/>
    <x v="2"/>
    <n v="3"/>
    <x v="0"/>
    <n v="1"/>
    <n v="316"/>
    <n v="3"/>
    <x v="0"/>
    <x v="66"/>
    <n v="2"/>
    <n v="1"/>
    <x v="2"/>
    <n v="4"/>
    <x v="0"/>
    <x v="226"/>
    <n v="3300"/>
    <n v="7"/>
    <s v="Y"/>
    <x v="1"/>
    <n v="15"/>
    <n v="3"/>
    <n v="2"/>
    <n v="80"/>
    <n v="0"/>
    <n v="6"/>
    <n v="3"/>
    <n v="2"/>
    <n v="2"/>
    <n v="2"/>
    <x v="3"/>
    <x v="3"/>
  </r>
  <r>
    <x v="19"/>
    <x v="1"/>
    <x v="0"/>
    <n v="532"/>
    <x v="1"/>
    <x v="18"/>
    <n v="2"/>
    <x v="4"/>
    <n v="1"/>
    <n v="319"/>
    <n v="3"/>
    <x v="1"/>
    <x v="22"/>
    <n v="3"/>
    <n v="5"/>
    <x v="5"/>
    <n v="4"/>
    <x v="1"/>
    <x v="227"/>
    <n v="4933"/>
    <n v="1"/>
    <s v="Y"/>
    <x v="1"/>
    <n v="11"/>
    <n v="3"/>
    <n v="4"/>
    <n v="80"/>
    <n v="0"/>
    <n v="22"/>
    <n v="3"/>
    <n v="3"/>
    <n v="22"/>
    <n v="17"/>
    <x v="14"/>
    <x v="14"/>
  </r>
  <r>
    <x v="6"/>
    <x v="1"/>
    <x v="0"/>
    <n v="818"/>
    <x v="2"/>
    <x v="16"/>
    <n v="2"/>
    <x v="2"/>
    <n v="1"/>
    <n v="321"/>
    <n v="2"/>
    <x v="1"/>
    <x v="48"/>
    <n v="3"/>
    <n v="1"/>
    <x v="8"/>
    <n v="3"/>
    <x v="1"/>
    <x v="228"/>
    <n v="25657"/>
    <n v="8"/>
    <s v="Y"/>
    <x v="1"/>
    <n v="17"/>
    <n v="3"/>
    <n v="4"/>
    <n v="80"/>
    <n v="0"/>
    <n v="7"/>
    <n v="2"/>
    <n v="2"/>
    <n v="2"/>
    <n v="2"/>
    <x v="3"/>
    <x v="3"/>
  </r>
  <r>
    <x v="24"/>
    <x v="1"/>
    <x v="0"/>
    <n v="854"/>
    <x v="0"/>
    <x v="0"/>
    <n v="4"/>
    <x v="2"/>
    <n v="1"/>
    <n v="323"/>
    <n v="4"/>
    <x v="0"/>
    <x v="67"/>
    <n v="3"/>
    <n v="5"/>
    <x v="5"/>
    <n v="4"/>
    <x v="2"/>
    <x v="229"/>
    <n v="24118"/>
    <n v="3"/>
    <s v="Y"/>
    <x v="1"/>
    <n v="11"/>
    <n v="3"/>
    <n v="3"/>
    <n v="80"/>
    <n v="1"/>
    <n v="32"/>
    <n v="3"/>
    <n v="2"/>
    <n v="7"/>
    <n v="0"/>
    <x v="0"/>
    <x v="4"/>
  </r>
  <r>
    <x v="3"/>
    <x v="0"/>
    <x v="0"/>
    <n v="813"/>
    <x v="1"/>
    <x v="24"/>
    <n v="3"/>
    <x v="2"/>
    <n v="1"/>
    <n v="325"/>
    <n v="3"/>
    <x v="1"/>
    <x v="22"/>
    <n v="3"/>
    <n v="1"/>
    <x v="2"/>
    <n v="4"/>
    <x v="1"/>
    <x v="230"/>
    <n v="22149"/>
    <n v="5"/>
    <s v="Y"/>
    <x v="0"/>
    <n v="13"/>
    <n v="3"/>
    <n v="3"/>
    <n v="80"/>
    <n v="1"/>
    <n v="8"/>
    <n v="2"/>
    <n v="1"/>
    <n v="5"/>
    <n v="4"/>
    <x v="0"/>
    <x v="10"/>
  </r>
  <r>
    <x v="23"/>
    <x v="1"/>
    <x v="0"/>
    <n v="1034"/>
    <x v="0"/>
    <x v="7"/>
    <n v="3"/>
    <x v="3"/>
    <n v="1"/>
    <n v="327"/>
    <n v="4"/>
    <x v="0"/>
    <x v="15"/>
    <n v="3"/>
    <n v="4"/>
    <x v="5"/>
    <n v="4"/>
    <x v="1"/>
    <x v="231"/>
    <n v="7744"/>
    <n v="5"/>
    <s v="Y"/>
    <x v="0"/>
    <n v="22"/>
    <n v="4"/>
    <n v="3"/>
    <n v="80"/>
    <n v="1"/>
    <n v="22"/>
    <n v="3"/>
    <n v="3"/>
    <n v="17"/>
    <n v="13"/>
    <x v="1"/>
    <x v="12"/>
  </r>
  <r>
    <x v="3"/>
    <x v="0"/>
    <x v="0"/>
    <n v="465"/>
    <x v="1"/>
    <x v="2"/>
    <n v="2"/>
    <x v="0"/>
    <n v="1"/>
    <n v="328"/>
    <n v="1"/>
    <x v="0"/>
    <x v="56"/>
    <n v="3"/>
    <n v="1"/>
    <x v="2"/>
    <n v="1"/>
    <x v="1"/>
    <x v="232"/>
    <n v="21509"/>
    <n v="7"/>
    <s v="Y"/>
    <x v="1"/>
    <n v="20"/>
    <n v="4"/>
    <n v="1"/>
    <n v="80"/>
    <n v="0"/>
    <n v="13"/>
    <n v="3"/>
    <n v="4"/>
    <n v="9"/>
    <n v="7"/>
    <x v="1"/>
    <x v="1"/>
  </r>
  <r>
    <x v="39"/>
    <x v="1"/>
    <x v="2"/>
    <n v="771"/>
    <x v="0"/>
    <x v="2"/>
    <n v="4"/>
    <x v="0"/>
    <n v="1"/>
    <n v="329"/>
    <n v="1"/>
    <x v="1"/>
    <x v="5"/>
    <n v="2"/>
    <n v="5"/>
    <x v="5"/>
    <n v="3"/>
    <x v="0"/>
    <x v="233"/>
    <n v="21030"/>
    <n v="1"/>
    <s v="Y"/>
    <x v="0"/>
    <n v="18"/>
    <n v="3"/>
    <n v="4"/>
    <n v="80"/>
    <n v="0"/>
    <n v="33"/>
    <n v="2"/>
    <n v="4"/>
    <n v="33"/>
    <n v="7"/>
    <x v="9"/>
    <x v="11"/>
  </r>
  <r>
    <x v="5"/>
    <x v="1"/>
    <x v="0"/>
    <n v="1401"/>
    <x v="0"/>
    <x v="18"/>
    <n v="2"/>
    <x v="0"/>
    <n v="1"/>
    <n v="330"/>
    <n v="3"/>
    <x v="0"/>
    <x v="3"/>
    <n v="3"/>
    <n v="1"/>
    <x v="6"/>
    <n v="2"/>
    <x v="1"/>
    <x v="234"/>
    <n v="20990"/>
    <n v="2"/>
    <s v="Y"/>
    <x v="1"/>
    <n v="11"/>
    <n v="3"/>
    <n v="1"/>
    <n v="80"/>
    <n v="1"/>
    <n v="6"/>
    <n v="5"/>
    <n v="3"/>
    <n v="4"/>
    <n v="3"/>
    <x v="1"/>
    <x v="3"/>
  </r>
  <r>
    <x v="5"/>
    <x v="0"/>
    <x v="0"/>
    <n v="515"/>
    <x v="1"/>
    <x v="0"/>
    <n v="3"/>
    <x v="0"/>
    <n v="1"/>
    <n v="331"/>
    <n v="4"/>
    <x v="1"/>
    <x v="50"/>
    <n v="2"/>
    <n v="1"/>
    <x v="2"/>
    <n v="3"/>
    <x v="0"/>
    <x v="235"/>
    <n v="9571"/>
    <n v="0"/>
    <s v="Y"/>
    <x v="0"/>
    <n v="14"/>
    <n v="3"/>
    <n v="4"/>
    <n v="80"/>
    <n v="0"/>
    <n v="4"/>
    <n v="2"/>
    <n v="1"/>
    <n v="3"/>
    <n v="2"/>
    <x v="1"/>
    <x v="3"/>
  </r>
  <r>
    <x v="22"/>
    <x v="1"/>
    <x v="0"/>
    <n v="1431"/>
    <x v="1"/>
    <x v="0"/>
    <n v="4"/>
    <x v="2"/>
    <n v="1"/>
    <n v="332"/>
    <n v="3"/>
    <x v="0"/>
    <x v="16"/>
    <n v="3"/>
    <n v="1"/>
    <x v="2"/>
    <n v="3"/>
    <x v="2"/>
    <x v="236"/>
    <n v="15417"/>
    <n v="7"/>
    <s v="Y"/>
    <x v="1"/>
    <n v="14"/>
    <n v="3"/>
    <n v="3"/>
    <n v="80"/>
    <n v="3"/>
    <n v="7"/>
    <n v="1"/>
    <n v="3"/>
    <n v="3"/>
    <n v="2"/>
    <x v="1"/>
    <x v="3"/>
  </r>
  <r>
    <x v="5"/>
    <x v="1"/>
    <x v="2"/>
    <n v="976"/>
    <x v="0"/>
    <x v="9"/>
    <n v="4"/>
    <x v="3"/>
    <n v="1"/>
    <n v="333"/>
    <n v="3"/>
    <x v="1"/>
    <x v="54"/>
    <n v="3"/>
    <n v="2"/>
    <x v="0"/>
    <n v="4"/>
    <x v="1"/>
    <x v="237"/>
    <n v="12069"/>
    <n v="0"/>
    <s v="Y"/>
    <x v="1"/>
    <n v="18"/>
    <n v="3"/>
    <n v="1"/>
    <n v="80"/>
    <n v="0"/>
    <n v="4"/>
    <n v="2"/>
    <n v="3"/>
    <n v="3"/>
    <n v="2"/>
    <x v="3"/>
    <x v="3"/>
  </r>
  <r>
    <x v="0"/>
    <x v="1"/>
    <x v="0"/>
    <n v="1411"/>
    <x v="1"/>
    <x v="10"/>
    <n v="2"/>
    <x v="0"/>
    <n v="1"/>
    <n v="334"/>
    <n v="3"/>
    <x v="1"/>
    <x v="34"/>
    <n v="3"/>
    <n v="2"/>
    <x v="1"/>
    <n v="1"/>
    <x v="2"/>
    <x v="169"/>
    <n v="19877"/>
    <n v="2"/>
    <s v="Y"/>
    <x v="1"/>
    <n v="16"/>
    <n v="3"/>
    <n v="1"/>
    <n v="80"/>
    <n v="2"/>
    <n v="17"/>
    <n v="2"/>
    <n v="2"/>
    <n v="1"/>
    <n v="0"/>
    <x v="0"/>
    <x v="2"/>
  </r>
  <r>
    <x v="32"/>
    <x v="1"/>
    <x v="0"/>
    <n v="1300"/>
    <x v="1"/>
    <x v="4"/>
    <n v="2"/>
    <x v="4"/>
    <n v="1"/>
    <n v="335"/>
    <n v="1"/>
    <x v="1"/>
    <x v="50"/>
    <n v="3"/>
    <n v="2"/>
    <x v="1"/>
    <n v="4"/>
    <x v="2"/>
    <x v="238"/>
    <n v="24447"/>
    <n v="1"/>
    <s v="Y"/>
    <x v="1"/>
    <n v="17"/>
    <n v="3"/>
    <n v="1"/>
    <n v="80"/>
    <n v="2"/>
    <n v="9"/>
    <n v="3"/>
    <n v="3"/>
    <n v="9"/>
    <n v="8"/>
    <x v="5"/>
    <x v="1"/>
  </r>
  <r>
    <x v="28"/>
    <x v="1"/>
    <x v="0"/>
    <n v="252"/>
    <x v="1"/>
    <x v="0"/>
    <n v="3"/>
    <x v="1"/>
    <n v="1"/>
    <n v="336"/>
    <n v="3"/>
    <x v="1"/>
    <x v="49"/>
    <n v="4"/>
    <n v="5"/>
    <x v="5"/>
    <n v="4"/>
    <x v="1"/>
    <x v="239"/>
    <n v="15970"/>
    <n v="0"/>
    <s v="Y"/>
    <x v="1"/>
    <n v="11"/>
    <n v="3"/>
    <n v="3"/>
    <n v="80"/>
    <n v="1"/>
    <n v="25"/>
    <n v="2"/>
    <n v="3"/>
    <n v="24"/>
    <n v="0"/>
    <x v="1"/>
    <x v="1"/>
  </r>
  <r>
    <x v="12"/>
    <x v="1"/>
    <x v="1"/>
    <n v="1327"/>
    <x v="1"/>
    <x v="3"/>
    <n v="4"/>
    <x v="2"/>
    <n v="1"/>
    <n v="337"/>
    <n v="2"/>
    <x v="1"/>
    <x v="32"/>
    <n v="3"/>
    <n v="3"/>
    <x v="7"/>
    <n v="3"/>
    <x v="2"/>
    <x v="240"/>
    <n v="13523"/>
    <n v="9"/>
    <s v="Y"/>
    <x v="1"/>
    <n v="12"/>
    <n v="3"/>
    <n v="1"/>
    <n v="80"/>
    <n v="1"/>
    <n v="9"/>
    <n v="3"/>
    <n v="3"/>
    <n v="2"/>
    <n v="2"/>
    <x v="3"/>
    <x v="3"/>
  </r>
  <r>
    <x v="3"/>
    <x v="1"/>
    <x v="0"/>
    <n v="832"/>
    <x v="1"/>
    <x v="12"/>
    <n v="4"/>
    <x v="0"/>
    <n v="1"/>
    <n v="338"/>
    <n v="3"/>
    <x v="0"/>
    <x v="52"/>
    <n v="2"/>
    <n v="1"/>
    <x v="1"/>
    <n v="4"/>
    <x v="1"/>
    <x v="12"/>
    <n v="14776"/>
    <n v="1"/>
    <s v="Y"/>
    <x v="1"/>
    <n v="13"/>
    <n v="3"/>
    <n v="3"/>
    <n v="80"/>
    <n v="1"/>
    <n v="2"/>
    <n v="2"/>
    <n v="2"/>
    <n v="2"/>
    <n v="2"/>
    <x v="0"/>
    <x v="3"/>
  </r>
  <r>
    <x v="13"/>
    <x v="1"/>
    <x v="0"/>
    <n v="470"/>
    <x v="1"/>
    <x v="2"/>
    <n v="4"/>
    <x v="0"/>
    <n v="1"/>
    <n v="339"/>
    <n v="4"/>
    <x v="1"/>
    <x v="9"/>
    <n v="2"/>
    <n v="2"/>
    <x v="3"/>
    <n v="1"/>
    <x v="1"/>
    <x v="241"/>
    <n v="23687"/>
    <n v="6"/>
    <s v="Y"/>
    <x v="1"/>
    <n v="13"/>
    <n v="3"/>
    <n v="2"/>
    <n v="80"/>
    <n v="1"/>
    <n v="13"/>
    <n v="3"/>
    <n v="3"/>
    <n v="11"/>
    <n v="9"/>
    <x v="8"/>
    <x v="12"/>
  </r>
  <r>
    <x v="2"/>
    <x v="1"/>
    <x v="0"/>
    <n v="1017"/>
    <x v="1"/>
    <x v="0"/>
    <n v="2"/>
    <x v="2"/>
    <n v="1"/>
    <n v="340"/>
    <n v="3"/>
    <x v="0"/>
    <x v="21"/>
    <n v="2"/>
    <n v="1"/>
    <x v="1"/>
    <n v="1"/>
    <x v="1"/>
    <x v="242"/>
    <n v="18697"/>
    <n v="2"/>
    <s v="Y"/>
    <x v="1"/>
    <n v="14"/>
    <n v="3"/>
    <n v="1"/>
    <n v="80"/>
    <n v="1"/>
    <n v="17"/>
    <n v="2"/>
    <n v="2"/>
    <n v="3"/>
    <n v="1"/>
    <x v="0"/>
    <x v="3"/>
  </r>
  <r>
    <x v="28"/>
    <x v="1"/>
    <x v="1"/>
    <n v="1199"/>
    <x v="1"/>
    <x v="15"/>
    <n v="4"/>
    <x v="0"/>
    <n v="1"/>
    <n v="341"/>
    <n v="1"/>
    <x v="1"/>
    <x v="57"/>
    <n v="4"/>
    <n v="2"/>
    <x v="3"/>
    <n v="3"/>
    <x v="1"/>
    <x v="243"/>
    <n v="5118"/>
    <n v="4"/>
    <s v="Y"/>
    <x v="1"/>
    <n v="17"/>
    <n v="3"/>
    <n v="4"/>
    <n v="80"/>
    <n v="1"/>
    <n v="9"/>
    <n v="1"/>
    <n v="3"/>
    <n v="3"/>
    <n v="2"/>
    <x v="0"/>
    <x v="3"/>
  </r>
  <r>
    <x v="2"/>
    <x v="0"/>
    <x v="1"/>
    <n v="504"/>
    <x v="1"/>
    <x v="17"/>
    <n v="3"/>
    <x v="2"/>
    <n v="1"/>
    <n v="342"/>
    <n v="1"/>
    <x v="1"/>
    <x v="1"/>
    <n v="3"/>
    <n v="3"/>
    <x v="3"/>
    <n v="3"/>
    <x v="2"/>
    <x v="244"/>
    <n v="22573"/>
    <n v="6"/>
    <s v="Y"/>
    <x v="1"/>
    <n v="11"/>
    <n v="3"/>
    <n v="2"/>
    <n v="80"/>
    <n v="2"/>
    <n v="17"/>
    <n v="5"/>
    <n v="3"/>
    <n v="1"/>
    <n v="0"/>
    <x v="0"/>
    <x v="2"/>
  </r>
  <r>
    <x v="22"/>
    <x v="1"/>
    <x v="1"/>
    <n v="505"/>
    <x v="1"/>
    <x v="2"/>
    <n v="4"/>
    <x v="4"/>
    <n v="1"/>
    <n v="343"/>
    <n v="3"/>
    <x v="0"/>
    <x v="51"/>
    <n v="3"/>
    <n v="3"/>
    <x v="4"/>
    <n v="3"/>
    <x v="0"/>
    <x v="245"/>
    <n v="6420"/>
    <n v="0"/>
    <s v="Y"/>
    <x v="1"/>
    <n v="25"/>
    <n v="4"/>
    <n v="4"/>
    <n v="80"/>
    <n v="0"/>
    <n v="20"/>
    <n v="1"/>
    <n v="3"/>
    <n v="19"/>
    <n v="6"/>
    <x v="14"/>
    <x v="5"/>
  </r>
  <r>
    <x v="11"/>
    <x v="1"/>
    <x v="0"/>
    <n v="665"/>
    <x v="1"/>
    <x v="8"/>
    <n v="3"/>
    <x v="0"/>
    <n v="1"/>
    <n v="346"/>
    <n v="3"/>
    <x v="1"/>
    <x v="53"/>
    <n v="3"/>
    <n v="1"/>
    <x v="1"/>
    <n v="4"/>
    <x v="0"/>
    <x v="246"/>
    <n v="22673"/>
    <n v="1"/>
    <s v="Y"/>
    <x v="1"/>
    <n v="19"/>
    <n v="3"/>
    <n v="1"/>
    <n v="80"/>
    <n v="0"/>
    <n v="6"/>
    <n v="1"/>
    <n v="3"/>
    <n v="6"/>
    <n v="5"/>
    <x v="1"/>
    <x v="0"/>
  </r>
  <r>
    <x v="19"/>
    <x v="1"/>
    <x v="0"/>
    <n v="916"/>
    <x v="1"/>
    <x v="27"/>
    <n v="2"/>
    <x v="0"/>
    <n v="1"/>
    <n v="347"/>
    <n v="4"/>
    <x v="0"/>
    <x v="19"/>
    <n v="4"/>
    <n v="2"/>
    <x v="1"/>
    <n v="1"/>
    <x v="0"/>
    <x v="247"/>
    <n v="23016"/>
    <n v="3"/>
    <s v="Y"/>
    <x v="0"/>
    <n v="13"/>
    <n v="3"/>
    <n v="3"/>
    <n v="80"/>
    <n v="0"/>
    <n v="10"/>
    <n v="1"/>
    <n v="3"/>
    <n v="3"/>
    <n v="2"/>
    <x v="0"/>
    <x v="3"/>
  </r>
  <r>
    <x v="11"/>
    <x v="1"/>
    <x v="0"/>
    <n v="1247"/>
    <x v="0"/>
    <x v="25"/>
    <n v="2"/>
    <x v="3"/>
    <n v="1"/>
    <n v="349"/>
    <n v="4"/>
    <x v="1"/>
    <x v="18"/>
    <n v="3"/>
    <n v="2"/>
    <x v="0"/>
    <n v="4"/>
    <x v="2"/>
    <x v="248"/>
    <n v="10732"/>
    <n v="2"/>
    <s v="Y"/>
    <x v="1"/>
    <n v="14"/>
    <n v="3"/>
    <n v="4"/>
    <n v="80"/>
    <n v="1"/>
    <n v="10"/>
    <n v="2"/>
    <n v="3"/>
    <n v="3"/>
    <n v="2"/>
    <x v="0"/>
    <x v="3"/>
  </r>
  <r>
    <x v="36"/>
    <x v="1"/>
    <x v="0"/>
    <n v="685"/>
    <x v="1"/>
    <x v="0"/>
    <n v="3"/>
    <x v="0"/>
    <n v="1"/>
    <n v="350"/>
    <n v="1"/>
    <x v="0"/>
    <x v="50"/>
    <n v="3"/>
    <n v="2"/>
    <x v="3"/>
    <n v="3"/>
    <x v="1"/>
    <x v="249"/>
    <n v="7505"/>
    <n v="0"/>
    <s v="Y"/>
    <x v="1"/>
    <n v="12"/>
    <n v="3"/>
    <n v="4"/>
    <n v="80"/>
    <n v="2"/>
    <n v="5"/>
    <n v="3"/>
    <n v="3"/>
    <n v="4"/>
    <n v="2"/>
    <x v="1"/>
    <x v="3"/>
  </r>
  <r>
    <x v="19"/>
    <x v="1"/>
    <x v="0"/>
    <n v="269"/>
    <x v="1"/>
    <x v="2"/>
    <n v="3"/>
    <x v="2"/>
    <n v="1"/>
    <n v="351"/>
    <n v="4"/>
    <x v="0"/>
    <x v="3"/>
    <n v="2"/>
    <n v="1"/>
    <x v="2"/>
    <n v="1"/>
    <x v="2"/>
    <x v="250"/>
    <n v="8007"/>
    <n v="0"/>
    <s v="Y"/>
    <x v="0"/>
    <n v="11"/>
    <n v="3"/>
    <n v="3"/>
    <n v="80"/>
    <n v="1"/>
    <n v="10"/>
    <n v="4"/>
    <n v="3"/>
    <n v="9"/>
    <n v="6"/>
    <x v="4"/>
    <x v="5"/>
  </r>
  <r>
    <x v="32"/>
    <x v="1"/>
    <x v="0"/>
    <n v="1416"/>
    <x v="1"/>
    <x v="2"/>
    <n v="2"/>
    <x v="2"/>
    <n v="1"/>
    <n v="352"/>
    <n v="1"/>
    <x v="1"/>
    <x v="10"/>
    <n v="3"/>
    <n v="5"/>
    <x v="7"/>
    <n v="3"/>
    <x v="2"/>
    <x v="251"/>
    <n v="5949"/>
    <n v="0"/>
    <s v="Y"/>
    <x v="1"/>
    <n v="19"/>
    <n v="3"/>
    <n v="4"/>
    <n v="80"/>
    <n v="1"/>
    <n v="22"/>
    <n v="5"/>
    <n v="3"/>
    <n v="21"/>
    <n v="7"/>
    <x v="2"/>
    <x v="12"/>
  </r>
  <r>
    <x v="31"/>
    <x v="1"/>
    <x v="0"/>
    <n v="833"/>
    <x v="1"/>
    <x v="0"/>
    <n v="3"/>
    <x v="0"/>
    <n v="1"/>
    <n v="353"/>
    <n v="3"/>
    <x v="1"/>
    <x v="16"/>
    <n v="3"/>
    <n v="1"/>
    <x v="1"/>
    <n v="4"/>
    <x v="1"/>
    <x v="252"/>
    <n v="23231"/>
    <n v="1"/>
    <s v="Y"/>
    <x v="1"/>
    <n v="11"/>
    <n v="3"/>
    <n v="2"/>
    <n v="80"/>
    <n v="0"/>
    <n v="1"/>
    <n v="0"/>
    <n v="2"/>
    <n v="1"/>
    <n v="0"/>
    <x v="0"/>
    <x v="2"/>
  </r>
  <r>
    <x v="12"/>
    <x v="0"/>
    <x v="1"/>
    <n v="307"/>
    <x v="1"/>
    <x v="22"/>
    <n v="2"/>
    <x v="2"/>
    <n v="1"/>
    <n v="355"/>
    <n v="3"/>
    <x v="1"/>
    <x v="36"/>
    <n v="2"/>
    <n v="1"/>
    <x v="2"/>
    <n v="2"/>
    <x v="0"/>
    <x v="253"/>
    <n v="11652"/>
    <n v="0"/>
    <s v="Y"/>
    <x v="1"/>
    <n v="11"/>
    <n v="3"/>
    <n v="2"/>
    <n v="80"/>
    <n v="0"/>
    <n v="6"/>
    <n v="2"/>
    <n v="4"/>
    <n v="5"/>
    <n v="4"/>
    <x v="1"/>
    <x v="10"/>
  </r>
  <r>
    <x v="5"/>
    <x v="1"/>
    <x v="1"/>
    <n v="1311"/>
    <x v="1"/>
    <x v="15"/>
    <n v="3"/>
    <x v="0"/>
    <n v="1"/>
    <n v="359"/>
    <n v="2"/>
    <x v="1"/>
    <x v="54"/>
    <n v="4"/>
    <n v="1"/>
    <x v="2"/>
    <n v="2"/>
    <x v="1"/>
    <x v="254"/>
    <n v="26062"/>
    <n v="1"/>
    <s v="Y"/>
    <x v="1"/>
    <n v="20"/>
    <n v="4"/>
    <n v="3"/>
    <n v="80"/>
    <n v="0"/>
    <n v="5"/>
    <n v="3"/>
    <n v="1"/>
    <n v="5"/>
    <n v="1"/>
    <x v="0"/>
    <x v="6"/>
  </r>
  <r>
    <x v="8"/>
    <x v="1"/>
    <x v="2"/>
    <n v="1327"/>
    <x v="0"/>
    <x v="2"/>
    <n v="2"/>
    <x v="0"/>
    <n v="1"/>
    <n v="361"/>
    <n v="4"/>
    <x v="1"/>
    <x v="56"/>
    <n v="2"/>
    <n v="2"/>
    <x v="0"/>
    <n v="4"/>
    <x v="1"/>
    <x v="255"/>
    <n v="19682"/>
    <n v="3"/>
    <s v="Y"/>
    <x v="1"/>
    <n v="18"/>
    <n v="3"/>
    <n v="4"/>
    <n v="80"/>
    <n v="1"/>
    <n v="13"/>
    <n v="0"/>
    <n v="3"/>
    <n v="8"/>
    <n v="7"/>
    <x v="4"/>
    <x v="0"/>
  </r>
  <r>
    <x v="5"/>
    <x v="1"/>
    <x v="0"/>
    <n v="128"/>
    <x v="1"/>
    <x v="2"/>
    <n v="1"/>
    <x v="4"/>
    <n v="1"/>
    <n v="362"/>
    <n v="4"/>
    <x v="1"/>
    <x v="9"/>
    <n v="2"/>
    <n v="2"/>
    <x v="2"/>
    <n v="1"/>
    <x v="0"/>
    <x v="256"/>
    <n v="19737"/>
    <n v="4"/>
    <s v="Y"/>
    <x v="1"/>
    <n v="13"/>
    <n v="3"/>
    <n v="4"/>
    <n v="80"/>
    <n v="0"/>
    <n v="9"/>
    <n v="5"/>
    <n v="3"/>
    <n v="6"/>
    <n v="2"/>
    <x v="0"/>
    <x v="10"/>
  </r>
  <r>
    <x v="21"/>
    <x v="1"/>
    <x v="0"/>
    <n v="488"/>
    <x v="0"/>
    <x v="2"/>
    <n v="3"/>
    <x v="4"/>
    <n v="1"/>
    <n v="363"/>
    <n v="3"/>
    <x v="0"/>
    <x v="29"/>
    <n v="1"/>
    <n v="4"/>
    <x v="5"/>
    <n v="2"/>
    <x v="1"/>
    <x v="257"/>
    <n v="14977"/>
    <n v="3"/>
    <s v="Y"/>
    <x v="0"/>
    <n v="12"/>
    <n v="3"/>
    <n v="2"/>
    <n v="80"/>
    <n v="1"/>
    <n v="28"/>
    <n v="2"/>
    <n v="2"/>
    <n v="7"/>
    <n v="7"/>
    <x v="4"/>
    <x v="1"/>
  </r>
  <r>
    <x v="14"/>
    <x v="0"/>
    <x v="0"/>
    <n v="529"/>
    <x v="1"/>
    <x v="2"/>
    <n v="4"/>
    <x v="0"/>
    <n v="1"/>
    <n v="364"/>
    <n v="1"/>
    <x v="1"/>
    <x v="5"/>
    <n v="3"/>
    <n v="1"/>
    <x v="2"/>
    <n v="3"/>
    <x v="0"/>
    <x v="258"/>
    <n v="14935"/>
    <n v="2"/>
    <s v="Y"/>
    <x v="1"/>
    <n v="11"/>
    <n v="3"/>
    <n v="3"/>
    <n v="80"/>
    <n v="0"/>
    <n v="5"/>
    <n v="5"/>
    <n v="1"/>
    <n v="0"/>
    <n v="0"/>
    <x v="0"/>
    <x v="2"/>
  </r>
  <r>
    <x v="11"/>
    <x v="1"/>
    <x v="0"/>
    <n v="1210"/>
    <x v="0"/>
    <x v="2"/>
    <n v="3"/>
    <x v="2"/>
    <n v="1"/>
    <n v="366"/>
    <n v="1"/>
    <x v="1"/>
    <x v="17"/>
    <n v="2"/>
    <n v="2"/>
    <x v="0"/>
    <n v="2"/>
    <x v="1"/>
    <x v="259"/>
    <n v="3687"/>
    <n v="2"/>
    <s v="Y"/>
    <x v="1"/>
    <n v="19"/>
    <n v="3"/>
    <n v="2"/>
    <n v="80"/>
    <n v="2"/>
    <n v="10"/>
    <n v="2"/>
    <n v="3"/>
    <n v="0"/>
    <n v="0"/>
    <x v="0"/>
    <x v="2"/>
  </r>
  <r>
    <x v="12"/>
    <x v="1"/>
    <x v="0"/>
    <n v="1463"/>
    <x v="1"/>
    <x v="5"/>
    <n v="3"/>
    <x v="2"/>
    <n v="1"/>
    <n v="367"/>
    <n v="2"/>
    <x v="1"/>
    <x v="51"/>
    <n v="2"/>
    <n v="2"/>
    <x v="4"/>
    <n v="4"/>
    <x v="1"/>
    <x v="260"/>
    <n v="14408"/>
    <n v="0"/>
    <s v="Y"/>
    <x v="1"/>
    <n v="21"/>
    <n v="4"/>
    <n v="2"/>
    <n v="80"/>
    <n v="1"/>
    <n v="10"/>
    <n v="2"/>
    <n v="3"/>
    <n v="9"/>
    <n v="0"/>
    <x v="4"/>
    <x v="5"/>
  </r>
  <r>
    <x v="36"/>
    <x v="1"/>
    <x v="2"/>
    <n v="675"/>
    <x v="1"/>
    <x v="12"/>
    <n v="2"/>
    <x v="0"/>
    <n v="1"/>
    <n v="369"/>
    <n v="2"/>
    <x v="1"/>
    <x v="65"/>
    <n v="4"/>
    <n v="2"/>
    <x v="4"/>
    <n v="1"/>
    <x v="2"/>
    <x v="261"/>
    <n v="18384"/>
    <n v="1"/>
    <s v="Y"/>
    <x v="1"/>
    <n v="12"/>
    <n v="3"/>
    <n v="4"/>
    <n v="80"/>
    <n v="2"/>
    <n v="6"/>
    <n v="2"/>
    <n v="3"/>
    <n v="6"/>
    <n v="3"/>
    <x v="1"/>
    <x v="0"/>
  </r>
  <r>
    <x v="28"/>
    <x v="1"/>
    <x v="0"/>
    <n v="1385"/>
    <x v="1"/>
    <x v="25"/>
    <n v="2"/>
    <x v="2"/>
    <n v="1"/>
    <n v="372"/>
    <n v="3"/>
    <x v="1"/>
    <x v="5"/>
    <n v="3"/>
    <n v="4"/>
    <x v="4"/>
    <n v="4"/>
    <x v="1"/>
    <x v="262"/>
    <n v="7501"/>
    <n v="0"/>
    <s v="Y"/>
    <x v="0"/>
    <n v="14"/>
    <n v="3"/>
    <n v="2"/>
    <n v="80"/>
    <n v="0"/>
    <n v="21"/>
    <n v="2"/>
    <n v="3"/>
    <n v="20"/>
    <n v="7"/>
    <x v="5"/>
    <x v="13"/>
  </r>
  <r>
    <x v="9"/>
    <x v="1"/>
    <x v="0"/>
    <n v="1403"/>
    <x v="1"/>
    <x v="16"/>
    <n v="3"/>
    <x v="0"/>
    <n v="1"/>
    <n v="373"/>
    <n v="4"/>
    <x v="1"/>
    <x v="35"/>
    <n v="3"/>
    <n v="1"/>
    <x v="2"/>
    <n v="4"/>
    <x v="1"/>
    <x v="263"/>
    <n v="20251"/>
    <n v="0"/>
    <s v="Y"/>
    <x v="1"/>
    <n v="11"/>
    <n v="3"/>
    <n v="3"/>
    <n v="80"/>
    <n v="1"/>
    <n v="16"/>
    <n v="4"/>
    <n v="3"/>
    <n v="15"/>
    <n v="13"/>
    <x v="13"/>
    <x v="7"/>
  </r>
  <r>
    <x v="27"/>
    <x v="1"/>
    <x v="0"/>
    <n v="452"/>
    <x v="1"/>
    <x v="0"/>
    <n v="3"/>
    <x v="2"/>
    <n v="1"/>
    <n v="374"/>
    <n v="4"/>
    <x v="1"/>
    <x v="6"/>
    <n v="3"/>
    <n v="5"/>
    <x v="5"/>
    <n v="1"/>
    <x v="0"/>
    <x v="264"/>
    <n v="18938"/>
    <n v="0"/>
    <s v="Y"/>
    <x v="0"/>
    <n v="14"/>
    <n v="3"/>
    <n v="3"/>
    <n v="80"/>
    <n v="0"/>
    <n v="37"/>
    <n v="2"/>
    <n v="3"/>
    <n v="36"/>
    <n v="10"/>
    <x v="5"/>
    <x v="15"/>
  </r>
  <r>
    <x v="40"/>
    <x v="0"/>
    <x v="2"/>
    <n v="666"/>
    <x v="1"/>
    <x v="22"/>
    <n v="4"/>
    <x v="0"/>
    <n v="1"/>
    <n v="376"/>
    <n v="1"/>
    <x v="1"/>
    <x v="64"/>
    <n v="3"/>
    <n v="3"/>
    <x v="5"/>
    <n v="2"/>
    <x v="1"/>
    <x v="265"/>
    <n v="10268"/>
    <n v="1"/>
    <s v="Y"/>
    <x v="0"/>
    <n v="12"/>
    <n v="3"/>
    <n v="4"/>
    <n v="80"/>
    <n v="1"/>
    <n v="10"/>
    <n v="2"/>
    <n v="2"/>
    <n v="10"/>
    <n v="7"/>
    <x v="10"/>
    <x v="12"/>
  </r>
  <r>
    <x v="14"/>
    <x v="1"/>
    <x v="0"/>
    <n v="1158"/>
    <x v="1"/>
    <x v="14"/>
    <n v="3"/>
    <x v="2"/>
    <n v="1"/>
    <n v="377"/>
    <n v="4"/>
    <x v="1"/>
    <x v="0"/>
    <n v="3"/>
    <n v="1"/>
    <x v="1"/>
    <n v="4"/>
    <x v="1"/>
    <x v="266"/>
    <n v="2613"/>
    <n v="1"/>
    <s v="Y"/>
    <x v="1"/>
    <n v="23"/>
    <n v="4"/>
    <n v="4"/>
    <n v="80"/>
    <n v="1"/>
    <n v="5"/>
    <n v="3"/>
    <n v="2"/>
    <n v="5"/>
    <n v="2"/>
    <x v="0"/>
    <x v="10"/>
  </r>
  <r>
    <x v="2"/>
    <x v="1"/>
    <x v="0"/>
    <n v="228"/>
    <x v="0"/>
    <x v="16"/>
    <n v="4"/>
    <x v="2"/>
    <n v="1"/>
    <n v="378"/>
    <n v="3"/>
    <x v="1"/>
    <x v="33"/>
    <n v="3"/>
    <n v="2"/>
    <x v="0"/>
    <n v="4"/>
    <x v="1"/>
    <x v="267"/>
    <n v="22825"/>
    <n v="4"/>
    <s v="Y"/>
    <x v="1"/>
    <n v="14"/>
    <n v="3"/>
    <n v="2"/>
    <n v="80"/>
    <n v="1"/>
    <n v="7"/>
    <n v="5"/>
    <n v="4"/>
    <n v="5"/>
    <n v="4"/>
    <x v="0"/>
    <x v="9"/>
  </r>
  <r>
    <x v="18"/>
    <x v="1"/>
    <x v="0"/>
    <n v="996"/>
    <x v="1"/>
    <x v="3"/>
    <n v="2"/>
    <x v="2"/>
    <n v="1"/>
    <n v="379"/>
    <n v="4"/>
    <x v="1"/>
    <x v="54"/>
    <n v="2"/>
    <n v="1"/>
    <x v="1"/>
    <n v="3"/>
    <x v="0"/>
    <x v="268"/>
    <n v="10531"/>
    <n v="1"/>
    <s v="Y"/>
    <x v="1"/>
    <n v="17"/>
    <n v="3"/>
    <n v="1"/>
    <n v="80"/>
    <n v="0"/>
    <n v="3"/>
    <n v="4"/>
    <n v="4"/>
    <n v="3"/>
    <n v="2"/>
    <x v="1"/>
    <x v="2"/>
  </r>
  <r>
    <x v="2"/>
    <x v="1"/>
    <x v="2"/>
    <n v="728"/>
    <x v="1"/>
    <x v="0"/>
    <n v="4"/>
    <x v="2"/>
    <n v="1"/>
    <n v="380"/>
    <n v="1"/>
    <x v="0"/>
    <x v="15"/>
    <n v="3"/>
    <n v="3"/>
    <x v="7"/>
    <n v="4"/>
    <x v="2"/>
    <x v="269"/>
    <n v="11677"/>
    <n v="2"/>
    <s v="Y"/>
    <x v="0"/>
    <n v="18"/>
    <n v="3"/>
    <n v="1"/>
    <n v="80"/>
    <n v="2"/>
    <n v="15"/>
    <n v="2"/>
    <n v="3"/>
    <n v="5"/>
    <n v="2"/>
    <x v="0"/>
    <x v="3"/>
  </r>
  <r>
    <x v="10"/>
    <x v="1"/>
    <x v="0"/>
    <n v="1315"/>
    <x v="1"/>
    <x v="23"/>
    <n v="3"/>
    <x v="0"/>
    <n v="1"/>
    <n v="381"/>
    <n v="2"/>
    <x v="0"/>
    <x v="36"/>
    <n v="4"/>
    <n v="3"/>
    <x v="5"/>
    <n v="2"/>
    <x v="2"/>
    <x v="270"/>
    <n v="19100"/>
    <n v="7"/>
    <s v="Y"/>
    <x v="1"/>
    <n v="18"/>
    <n v="3"/>
    <n v="2"/>
    <n v="80"/>
    <n v="1"/>
    <n v="10"/>
    <n v="6"/>
    <n v="2"/>
    <n v="7"/>
    <n v="7"/>
    <x v="7"/>
    <x v="3"/>
  </r>
  <r>
    <x v="8"/>
    <x v="1"/>
    <x v="0"/>
    <n v="322"/>
    <x v="0"/>
    <x v="15"/>
    <n v="2"/>
    <x v="2"/>
    <n v="1"/>
    <n v="382"/>
    <n v="1"/>
    <x v="0"/>
    <x v="8"/>
    <n v="4"/>
    <n v="2"/>
    <x v="0"/>
    <n v="1"/>
    <x v="2"/>
    <x v="147"/>
    <n v="19191"/>
    <n v="1"/>
    <s v="Y"/>
    <x v="0"/>
    <n v="24"/>
    <n v="4"/>
    <n v="3"/>
    <n v="80"/>
    <n v="1"/>
    <n v="8"/>
    <n v="3"/>
    <n v="3"/>
    <n v="8"/>
    <n v="0"/>
    <x v="4"/>
    <x v="1"/>
  </r>
  <r>
    <x v="25"/>
    <x v="1"/>
    <x v="1"/>
    <n v="1479"/>
    <x v="1"/>
    <x v="0"/>
    <n v="3"/>
    <x v="0"/>
    <n v="1"/>
    <n v="384"/>
    <n v="3"/>
    <x v="0"/>
    <x v="9"/>
    <n v="3"/>
    <n v="2"/>
    <x v="3"/>
    <n v="2"/>
    <x v="2"/>
    <x v="271"/>
    <n v="26767"/>
    <n v="1"/>
    <s v="Y"/>
    <x v="1"/>
    <n v="20"/>
    <n v="4"/>
    <n v="1"/>
    <n v="80"/>
    <n v="1"/>
    <n v="6"/>
    <n v="6"/>
    <n v="1"/>
    <n v="6"/>
    <n v="5"/>
    <x v="1"/>
    <x v="10"/>
  </r>
  <r>
    <x v="24"/>
    <x v="1"/>
    <x v="0"/>
    <n v="797"/>
    <x v="1"/>
    <x v="18"/>
    <n v="1"/>
    <x v="0"/>
    <n v="1"/>
    <n v="385"/>
    <n v="1"/>
    <x v="1"/>
    <x v="16"/>
    <n v="3"/>
    <n v="5"/>
    <x v="7"/>
    <n v="2"/>
    <x v="2"/>
    <x v="272"/>
    <n v="15815"/>
    <n v="3"/>
    <s v="Y"/>
    <x v="1"/>
    <n v="14"/>
    <n v="3"/>
    <n v="1"/>
    <n v="80"/>
    <n v="2"/>
    <n v="28"/>
    <n v="4"/>
    <n v="2"/>
    <n v="10"/>
    <n v="4"/>
    <x v="1"/>
    <x v="4"/>
  </r>
  <r>
    <x v="16"/>
    <x v="1"/>
    <x v="0"/>
    <n v="1070"/>
    <x v="1"/>
    <x v="3"/>
    <n v="4"/>
    <x v="2"/>
    <n v="1"/>
    <n v="386"/>
    <n v="3"/>
    <x v="1"/>
    <x v="18"/>
    <n v="3"/>
    <n v="4"/>
    <x v="7"/>
    <n v="3"/>
    <x v="1"/>
    <x v="273"/>
    <n v="21016"/>
    <n v="3"/>
    <s v="Y"/>
    <x v="0"/>
    <n v="16"/>
    <n v="3"/>
    <n v="4"/>
    <n v="80"/>
    <n v="3"/>
    <n v="21"/>
    <n v="5"/>
    <n v="2"/>
    <n v="5"/>
    <n v="3"/>
    <x v="1"/>
    <x v="6"/>
  </r>
  <r>
    <x v="19"/>
    <x v="1"/>
    <x v="0"/>
    <n v="635"/>
    <x v="0"/>
    <x v="0"/>
    <n v="1"/>
    <x v="0"/>
    <n v="1"/>
    <n v="387"/>
    <n v="2"/>
    <x v="1"/>
    <x v="39"/>
    <n v="3"/>
    <n v="2"/>
    <x v="0"/>
    <n v="3"/>
    <x v="1"/>
    <x v="274"/>
    <n v="24532"/>
    <n v="1"/>
    <s v="Y"/>
    <x v="1"/>
    <n v="25"/>
    <n v="4"/>
    <n v="3"/>
    <n v="80"/>
    <n v="0"/>
    <n v="20"/>
    <n v="3"/>
    <n v="3"/>
    <n v="20"/>
    <n v="16"/>
    <x v="14"/>
    <x v="4"/>
  </r>
  <r>
    <x v="11"/>
    <x v="1"/>
    <x v="1"/>
    <n v="442"/>
    <x v="0"/>
    <x v="2"/>
    <n v="2"/>
    <x v="0"/>
    <n v="1"/>
    <n v="388"/>
    <n v="2"/>
    <x v="1"/>
    <x v="8"/>
    <n v="3"/>
    <n v="2"/>
    <x v="0"/>
    <n v="4"/>
    <x v="0"/>
    <x v="275"/>
    <n v="20260"/>
    <n v="1"/>
    <s v="Y"/>
    <x v="1"/>
    <n v="18"/>
    <n v="3"/>
    <n v="1"/>
    <n v="80"/>
    <n v="0"/>
    <n v="10"/>
    <n v="3"/>
    <n v="2"/>
    <n v="10"/>
    <n v="7"/>
    <x v="0"/>
    <x v="12"/>
  </r>
  <r>
    <x v="27"/>
    <x v="1"/>
    <x v="0"/>
    <n v="147"/>
    <x v="1"/>
    <x v="25"/>
    <n v="2"/>
    <x v="4"/>
    <n v="1"/>
    <n v="389"/>
    <n v="2"/>
    <x v="1"/>
    <x v="31"/>
    <n v="3"/>
    <n v="2"/>
    <x v="2"/>
    <n v="4"/>
    <x v="1"/>
    <x v="276"/>
    <n v="15972"/>
    <n v="3"/>
    <s v="Y"/>
    <x v="0"/>
    <n v="19"/>
    <n v="3"/>
    <n v="4"/>
    <n v="80"/>
    <n v="1"/>
    <n v="12"/>
    <n v="4"/>
    <n v="3"/>
    <n v="10"/>
    <n v="7"/>
    <x v="0"/>
    <x v="5"/>
  </r>
  <r>
    <x v="25"/>
    <x v="1"/>
    <x v="1"/>
    <n v="496"/>
    <x v="1"/>
    <x v="13"/>
    <n v="2"/>
    <x v="2"/>
    <n v="1"/>
    <n v="390"/>
    <n v="1"/>
    <x v="1"/>
    <x v="53"/>
    <n v="3"/>
    <n v="2"/>
    <x v="4"/>
    <n v="1"/>
    <x v="1"/>
    <x v="277"/>
    <n v="22722"/>
    <n v="1"/>
    <s v="Y"/>
    <x v="0"/>
    <n v="13"/>
    <n v="3"/>
    <n v="3"/>
    <n v="80"/>
    <n v="1"/>
    <n v="5"/>
    <n v="3"/>
    <n v="3"/>
    <n v="5"/>
    <n v="3"/>
    <x v="2"/>
    <x v="6"/>
  </r>
  <r>
    <x v="2"/>
    <x v="1"/>
    <x v="0"/>
    <n v="1372"/>
    <x v="1"/>
    <x v="0"/>
    <n v="3"/>
    <x v="0"/>
    <n v="1"/>
    <n v="391"/>
    <n v="4"/>
    <x v="0"/>
    <x v="25"/>
    <n v="3"/>
    <n v="1"/>
    <x v="1"/>
    <n v="4"/>
    <x v="0"/>
    <x v="278"/>
    <n v="15881"/>
    <n v="1"/>
    <s v="Y"/>
    <x v="1"/>
    <n v="12"/>
    <n v="3"/>
    <n v="2"/>
    <n v="80"/>
    <n v="0"/>
    <n v="17"/>
    <n v="3"/>
    <n v="3"/>
    <n v="17"/>
    <n v="12"/>
    <x v="8"/>
    <x v="1"/>
  </r>
  <r>
    <x v="20"/>
    <x v="0"/>
    <x v="1"/>
    <n v="920"/>
    <x v="1"/>
    <x v="4"/>
    <n v="3"/>
    <x v="0"/>
    <n v="1"/>
    <n v="392"/>
    <n v="4"/>
    <x v="1"/>
    <x v="38"/>
    <n v="3"/>
    <n v="1"/>
    <x v="2"/>
    <n v="3"/>
    <x v="2"/>
    <x v="279"/>
    <n v="19920"/>
    <n v="3"/>
    <s v="Y"/>
    <x v="0"/>
    <n v="22"/>
    <n v="4"/>
    <n v="4"/>
    <n v="80"/>
    <n v="1"/>
    <n v="19"/>
    <n v="0"/>
    <n v="1"/>
    <n v="1"/>
    <n v="0"/>
    <x v="0"/>
    <x v="2"/>
  </r>
  <r>
    <x v="8"/>
    <x v="1"/>
    <x v="0"/>
    <n v="688"/>
    <x v="1"/>
    <x v="5"/>
    <n v="4"/>
    <x v="0"/>
    <n v="1"/>
    <n v="393"/>
    <n v="4"/>
    <x v="1"/>
    <x v="19"/>
    <n v="3"/>
    <n v="2"/>
    <x v="4"/>
    <n v="4"/>
    <x v="2"/>
    <x v="280"/>
    <n v="18899"/>
    <n v="9"/>
    <s v="Y"/>
    <x v="1"/>
    <n v="14"/>
    <n v="3"/>
    <n v="2"/>
    <n v="80"/>
    <n v="1"/>
    <n v="10"/>
    <n v="2"/>
    <n v="3"/>
    <n v="2"/>
    <n v="2"/>
    <x v="1"/>
    <x v="3"/>
  </r>
  <r>
    <x v="25"/>
    <x v="0"/>
    <x v="0"/>
    <n v="1449"/>
    <x v="1"/>
    <x v="7"/>
    <n v="4"/>
    <x v="2"/>
    <n v="1"/>
    <n v="394"/>
    <n v="1"/>
    <x v="1"/>
    <x v="18"/>
    <n v="3"/>
    <n v="1"/>
    <x v="2"/>
    <n v="2"/>
    <x v="2"/>
    <x v="281"/>
    <n v="14180"/>
    <n v="2"/>
    <s v="Y"/>
    <x v="0"/>
    <n v="13"/>
    <n v="3"/>
    <n v="4"/>
    <n v="80"/>
    <n v="1"/>
    <n v="5"/>
    <n v="2"/>
    <n v="3"/>
    <n v="3"/>
    <n v="2"/>
    <x v="0"/>
    <x v="3"/>
  </r>
  <r>
    <x v="14"/>
    <x v="1"/>
    <x v="0"/>
    <n v="1117"/>
    <x v="1"/>
    <x v="1"/>
    <n v="2"/>
    <x v="0"/>
    <n v="1"/>
    <n v="395"/>
    <n v="4"/>
    <x v="0"/>
    <x v="45"/>
    <n v="3"/>
    <n v="1"/>
    <x v="1"/>
    <n v="4"/>
    <x v="0"/>
    <x v="282"/>
    <n v="4488"/>
    <n v="1"/>
    <s v="Y"/>
    <x v="1"/>
    <n v="21"/>
    <n v="4"/>
    <n v="4"/>
    <n v="80"/>
    <n v="0"/>
    <n v="5"/>
    <n v="3"/>
    <n v="3"/>
    <n v="5"/>
    <n v="3"/>
    <x v="0"/>
    <x v="3"/>
  </r>
  <r>
    <x v="1"/>
    <x v="1"/>
    <x v="1"/>
    <n v="636"/>
    <x v="1"/>
    <x v="17"/>
    <n v="4"/>
    <x v="0"/>
    <n v="1"/>
    <n v="396"/>
    <n v="3"/>
    <x v="0"/>
    <x v="58"/>
    <n v="3"/>
    <n v="5"/>
    <x v="7"/>
    <n v="1"/>
    <x v="0"/>
    <x v="283"/>
    <n v="25594"/>
    <n v="9"/>
    <s v="Y"/>
    <x v="0"/>
    <n v="11"/>
    <n v="3"/>
    <n v="4"/>
    <n v="80"/>
    <n v="0"/>
    <n v="22"/>
    <n v="4"/>
    <n v="3"/>
    <n v="3"/>
    <n v="2"/>
    <x v="1"/>
    <x v="3"/>
  </r>
  <r>
    <x v="9"/>
    <x v="1"/>
    <x v="0"/>
    <n v="506"/>
    <x v="1"/>
    <x v="3"/>
    <n v="3"/>
    <x v="4"/>
    <n v="1"/>
    <n v="397"/>
    <n v="3"/>
    <x v="1"/>
    <x v="37"/>
    <n v="3"/>
    <n v="2"/>
    <x v="1"/>
    <n v="2"/>
    <x v="0"/>
    <x v="284"/>
    <n v="26285"/>
    <n v="4"/>
    <s v="Y"/>
    <x v="1"/>
    <n v="12"/>
    <n v="3"/>
    <n v="4"/>
    <n v="80"/>
    <n v="0"/>
    <n v="10"/>
    <n v="2"/>
    <n v="3"/>
    <n v="8"/>
    <n v="0"/>
    <x v="4"/>
    <x v="1"/>
  </r>
  <r>
    <x v="12"/>
    <x v="1"/>
    <x v="1"/>
    <n v="444"/>
    <x v="0"/>
    <x v="12"/>
    <n v="3"/>
    <x v="3"/>
    <n v="1"/>
    <n v="399"/>
    <n v="4"/>
    <x v="0"/>
    <x v="9"/>
    <n v="3"/>
    <n v="1"/>
    <x v="6"/>
    <n v="2"/>
    <x v="2"/>
    <x v="285"/>
    <n v="3909"/>
    <n v="1"/>
    <s v="Y"/>
    <x v="1"/>
    <n v="11"/>
    <n v="3"/>
    <n v="3"/>
    <n v="80"/>
    <n v="1"/>
    <n v="2"/>
    <n v="5"/>
    <n v="2"/>
    <n v="2"/>
    <n v="2"/>
    <x v="3"/>
    <x v="3"/>
  </r>
  <r>
    <x v="25"/>
    <x v="0"/>
    <x v="0"/>
    <n v="950"/>
    <x v="0"/>
    <x v="18"/>
    <n v="4"/>
    <x v="3"/>
    <n v="1"/>
    <n v="401"/>
    <n v="4"/>
    <x v="1"/>
    <x v="24"/>
    <n v="2"/>
    <n v="2"/>
    <x v="0"/>
    <n v="4"/>
    <x v="0"/>
    <x v="286"/>
    <n v="8450"/>
    <n v="1"/>
    <s v="Y"/>
    <x v="0"/>
    <n v="12"/>
    <n v="3"/>
    <n v="2"/>
    <n v="80"/>
    <n v="0"/>
    <n v="8"/>
    <n v="0"/>
    <n v="3"/>
    <n v="8"/>
    <n v="7"/>
    <x v="4"/>
    <x v="10"/>
  </r>
  <r>
    <x v="2"/>
    <x v="1"/>
    <x v="1"/>
    <n v="889"/>
    <x v="1"/>
    <x v="14"/>
    <n v="3"/>
    <x v="2"/>
    <n v="1"/>
    <n v="403"/>
    <n v="2"/>
    <x v="1"/>
    <x v="20"/>
    <n v="3"/>
    <n v="1"/>
    <x v="1"/>
    <n v="4"/>
    <x v="1"/>
    <x v="287"/>
    <n v="11411"/>
    <n v="1"/>
    <s v="Y"/>
    <x v="0"/>
    <n v="12"/>
    <n v="3"/>
    <n v="3"/>
    <n v="80"/>
    <n v="3"/>
    <n v="4"/>
    <n v="3"/>
    <n v="2"/>
    <n v="4"/>
    <n v="2"/>
    <x v="1"/>
    <x v="3"/>
  </r>
  <r>
    <x v="19"/>
    <x v="1"/>
    <x v="1"/>
    <n v="555"/>
    <x v="0"/>
    <x v="9"/>
    <n v="3"/>
    <x v="3"/>
    <n v="1"/>
    <n v="404"/>
    <n v="3"/>
    <x v="0"/>
    <x v="57"/>
    <n v="3"/>
    <n v="4"/>
    <x v="0"/>
    <n v="2"/>
    <x v="1"/>
    <x v="288"/>
    <n v="14864"/>
    <n v="5"/>
    <s v="Y"/>
    <x v="1"/>
    <n v="14"/>
    <n v="3"/>
    <n v="4"/>
    <n v="80"/>
    <n v="1"/>
    <n v="23"/>
    <n v="2"/>
    <n v="4"/>
    <n v="20"/>
    <n v="4"/>
    <x v="5"/>
    <x v="5"/>
  </r>
  <r>
    <x v="41"/>
    <x v="0"/>
    <x v="0"/>
    <n v="230"/>
    <x v="1"/>
    <x v="3"/>
    <n v="3"/>
    <x v="0"/>
    <n v="1"/>
    <n v="405"/>
    <n v="3"/>
    <x v="1"/>
    <x v="60"/>
    <n v="3"/>
    <n v="1"/>
    <x v="2"/>
    <n v="3"/>
    <x v="0"/>
    <x v="289"/>
    <n v="25233"/>
    <n v="1"/>
    <s v="Y"/>
    <x v="1"/>
    <n v="13"/>
    <n v="3"/>
    <n v="3"/>
    <n v="80"/>
    <n v="0"/>
    <n v="0"/>
    <n v="2"/>
    <n v="3"/>
    <n v="0"/>
    <n v="0"/>
    <x v="0"/>
    <x v="2"/>
  </r>
  <r>
    <x v="10"/>
    <x v="1"/>
    <x v="0"/>
    <n v="1232"/>
    <x v="0"/>
    <x v="7"/>
    <n v="3"/>
    <x v="3"/>
    <n v="1"/>
    <n v="406"/>
    <n v="3"/>
    <x v="1"/>
    <x v="16"/>
    <n v="3"/>
    <n v="3"/>
    <x v="0"/>
    <n v="2"/>
    <x v="1"/>
    <x v="290"/>
    <n v="5100"/>
    <n v="0"/>
    <s v="Y"/>
    <x v="1"/>
    <n v="15"/>
    <n v="3"/>
    <n v="3"/>
    <n v="80"/>
    <n v="2"/>
    <n v="12"/>
    <n v="3"/>
    <n v="2"/>
    <n v="11"/>
    <n v="9"/>
    <x v="7"/>
    <x v="12"/>
  </r>
  <r>
    <x v="9"/>
    <x v="1"/>
    <x v="1"/>
    <n v="566"/>
    <x v="1"/>
    <x v="21"/>
    <n v="4"/>
    <x v="0"/>
    <n v="1"/>
    <n v="407"/>
    <n v="3"/>
    <x v="1"/>
    <x v="6"/>
    <n v="4"/>
    <n v="1"/>
    <x v="2"/>
    <n v="4"/>
    <x v="1"/>
    <x v="291"/>
    <n v="7122"/>
    <n v="4"/>
    <s v="Y"/>
    <x v="1"/>
    <n v="18"/>
    <n v="3"/>
    <n v="4"/>
    <n v="80"/>
    <n v="2"/>
    <n v="4"/>
    <n v="2"/>
    <n v="3"/>
    <n v="1"/>
    <n v="0"/>
    <x v="0"/>
    <x v="2"/>
  </r>
  <r>
    <x v="31"/>
    <x v="1"/>
    <x v="0"/>
    <n v="1302"/>
    <x v="1"/>
    <x v="2"/>
    <n v="3"/>
    <x v="2"/>
    <n v="1"/>
    <n v="408"/>
    <n v="4"/>
    <x v="1"/>
    <x v="9"/>
    <n v="1"/>
    <n v="2"/>
    <x v="3"/>
    <n v="2"/>
    <x v="2"/>
    <x v="292"/>
    <n v="16321"/>
    <n v="5"/>
    <s v="Y"/>
    <x v="1"/>
    <n v="18"/>
    <n v="3"/>
    <n v="4"/>
    <n v="80"/>
    <n v="1"/>
    <n v="13"/>
    <n v="3"/>
    <n v="3"/>
    <n v="4"/>
    <n v="1"/>
    <x v="1"/>
    <x v="3"/>
  </r>
  <r>
    <x v="0"/>
    <x v="1"/>
    <x v="0"/>
    <n v="334"/>
    <x v="0"/>
    <x v="2"/>
    <n v="4"/>
    <x v="0"/>
    <n v="1"/>
    <n v="410"/>
    <n v="4"/>
    <x v="1"/>
    <x v="64"/>
    <n v="3"/>
    <n v="4"/>
    <x v="5"/>
    <n v="2"/>
    <x v="0"/>
    <x v="293"/>
    <n v="15896"/>
    <n v="1"/>
    <s v="Y"/>
    <x v="1"/>
    <n v="19"/>
    <n v="3"/>
    <n v="2"/>
    <n v="80"/>
    <n v="0"/>
    <n v="22"/>
    <n v="2"/>
    <n v="3"/>
    <n v="22"/>
    <n v="10"/>
    <x v="0"/>
    <x v="10"/>
  </r>
  <r>
    <x v="41"/>
    <x v="1"/>
    <x v="0"/>
    <n v="812"/>
    <x v="0"/>
    <x v="17"/>
    <n v="3"/>
    <x v="2"/>
    <n v="1"/>
    <n v="411"/>
    <n v="4"/>
    <x v="0"/>
    <x v="68"/>
    <n v="2"/>
    <n v="1"/>
    <x v="6"/>
    <n v="3"/>
    <x v="0"/>
    <x v="294"/>
    <n v="9724"/>
    <n v="1"/>
    <s v="Y"/>
    <x v="1"/>
    <n v="12"/>
    <n v="3"/>
    <n v="1"/>
    <n v="80"/>
    <n v="0"/>
    <n v="0"/>
    <n v="2"/>
    <n v="3"/>
    <n v="0"/>
    <n v="0"/>
    <x v="0"/>
    <x v="2"/>
  </r>
  <r>
    <x v="14"/>
    <x v="1"/>
    <x v="0"/>
    <n v="1476"/>
    <x v="1"/>
    <x v="7"/>
    <n v="2"/>
    <x v="2"/>
    <n v="1"/>
    <n v="412"/>
    <n v="2"/>
    <x v="1"/>
    <x v="67"/>
    <n v="4"/>
    <n v="2"/>
    <x v="4"/>
    <n v="1"/>
    <x v="0"/>
    <x v="295"/>
    <n v="4824"/>
    <n v="0"/>
    <s v="Y"/>
    <x v="1"/>
    <n v="19"/>
    <n v="3"/>
    <n v="3"/>
    <n v="80"/>
    <n v="0"/>
    <n v="9"/>
    <n v="2"/>
    <n v="3"/>
    <n v="8"/>
    <n v="3"/>
    <x v="0"/>
    <x v="1"/>
  </r>
  <r>
    <x v="12"/>
    <x v="1"/>
    <x v="0"/>
    <n v="218"/>
    <x v="0"/>
    <x v="15"/>
    <n v="3"/>
    <x v="4"/>
    <n v="1"/>
    <n v="416"/>
    <n v="2"/>
    <x v="1"/>
    <x v="54"/>
    <n v="4"/>
    <n v="2"/>
    <x v="0"/>
    <n v="4"/>
    <x v="1"/>
    <x v="296"/>
    <n v="12241"/>
    <n v="4"/>
    <s v="Y"/>
    <x v="1"/>
    <n v="11"/>
    <n v="3"/>
    <n v="2"/>
    <n v="80"/>
    <n v="1"/>
    <n v="10"/>
    <n v="3"/>
    <n v="2"/>
    <n v="8"/>
    <n v="7"/>
    <x v="4"/>
    <x v="1"/>
  </r>
  <r>
    <x v="22"/>
    <x v="1"/>
    <x v="0"/>
    <n v="1132"/>
    <x v="1"/>
    <x v="0"/>
    <n v="3"/>
    <x v="2"/>
    <n v="1"/>
    <n v="417"/>
    <n v="3"/>
    <x v="1"/>
    <x v="24"/>
    <n v="4"/>
    <n v="3"/>
    <x v="4"/>
    <n v="4"/>
    <x v="2"/>
    <x v="297"/>
    <n v="10942"/>
    <n v="0"/>
    <s v="Y"/>
    <x v="1"/>
    <n v="17"/>
    <n v="3"/>
    <n v="1"/>
    <n v="80"/>
    <n v="3"/>
    <n v="19"/>
    <n v="5"/>
    <n v="2"/>
    <n v="18"/>
    <n v="10"/>
    <x v="2"/>
    <x v="1"/>
  </r>
  <r>
    <x v="9"/>
    <x v="1"/>
    <x v="2"/>
    <n v="1105"/>
    <x v="1"/>
    <x v="4"/>
    <n v="4"/>
    <x v="0"/>
    <n v="1"/>
    <n v="419"/>
    <n v="2"/>
    <x v="0"/>
    <x v="35"/>
    <n v="3"/>
    <n v="2"/>
    <x v="2"/>
    <n v="2"/>
    <x v="1"/>
    <x v="298"/>
    <n v="6927"/>
    <n v="7"/>
    <s v="Y"/>
    <x v="1"/>
    <n v="15"/>
    <n v="3"/>
    <n v="3"/>
    <n v="80"/>
    <n v="1"/>
    <n v="11"/>
    <n v="3"/>
    <n v="3"/>
    <n v="9"/>
    <n v="8"/>
    <x v="0"/>
    <x v="5"/>
  </r>
  <r>
    <x v="5"/>
    <x v="1"/>
    <x v="0"/>
    <n v="906"/>
    <x v="0"/>
    <x v="15"/>
    <n v="3"/>
    <x v="0"/>
    <n v="1"/>
    <n v="420"/>
    <n v="4"/>
    <x v="1"/>
    <x v="59"/>
    <n v="2"/>
    <n v="2"/>
    <x v="0"/>
    <n v="3"/>
    <x v="1"/>
    <x v="299"/>
    <n v="16985"/>
    <n v="1"/>
    <s v="Y"/>
    <x v="1"/>
    <n v="14"/>
    <n v="3"/>
    <n v="3"/>
    <n v="80"/>
    <n v="1"/>
    <n v="13"/>
    <n v="3"/>
    <n v="2"/>
    <n v="13"/>
    <n v="8"/>
    <x v="5"/>
    <x v="5"/>
  </r>
  <r>
    <x v="8"/>
    <x v="1"/>
    <x v="0"/>
    <n v="849"/>
    <x v="1"/>
    <x v="19"/>
    <n v="2"/>
    <x v="0"/>
    <n v="1"/>
    <n v="421"/>
    <n v="1"/>
    <x v="0"/>
    <x v="6"/>
    <n v="2"/>
    <n v="3"/>
    <x v="7"/>
    <n v="2"/>
    <x v="1"/>
    <x v="300"/>
    <n v="26707"/>
    <n v="3"/>
    <s v="Y"/>
    <x v="1"/>
    <n v="17"/>
    <n v="3"/>
    <n v="3"/>
    <n v="80"/>
    <n v="1"/>
    <n v="19"/>
    <n v="2"/>
    <n v="3"/>
    <n v="10"/>
    <n v="8"/>
    <x v="0"/>
    <x v="9"/>
  </r>
  <r>
    <x v="34"/>
    <x v="1"/>
    <x v="2"/>
    <n v="390"/>
    <x v="1"/>
    <x v="0"/>
    <n v="4"/>
    <x v="0"/>
    <n v="1"/>
    <n v="422"/>
    <n v="4"/>
    <x v="1"/>
    <x v="47"/>
    <n v="1"/>
    <n v="2"/>
    <x v="4"/>
    <n v="3"/>
    <x v="2"/>
    <x v="301"/>
    <n v="17056"/>
    <n v="2"/>
    <s v="Y"/>
    <x v="0"/>
    <n v="13"/>
    <n v="3"/>
    <n v="4"/>
    <n v="80"/>
    <n v="1"/>
    <n v="12"/>
    <n v="2"/>
    <n v="3"/>
    <n v="5"/>
    <n v="3"/>
    <x v="1"/>
    <x v="3"/>
  </r>
  <r>
    <x v="12"/>
    <x v="1"/>
    <x v="0"/>
    <n v="691"/>
    <x v="1"/>
    <x v="12"/>
    <n v="4"/>
    <x v="4"/>
    <n v="1"/>
    <n v="423"/>
    <n v="3"/>
    <x v="1"/>
    <x v="27"/>
    <n v="3"/>
    <n v="1"/>
    <x v="1"/>
    <n v="4"/>
    <x v="1"/>
    <x v="302"/>
    <n v="10077"/>
    <n v="0"/>
    <s v="Y"/>
    <x v="0"/>
    <n v="12"/>
    <n v="3"/>
    <n v="3"/>
    <n v="80"/>
    <n v="1"/>
    <n v="6"/>
    <n v="4"/>
    <n v="3"/>
    <n v="5"/>
    <n v="2"/>
    <x v="0"/>
    <x v="6"/>
  </r>
  <r>
    <x v="12"/>
    <x v="1"/>
    <x v="0"/>
    <n v="106"/>
    <x v="2"/>
    <x v="2"/>
    <n v="3"/>
    <x v="5"/>
    <n v="1"/>
    <n v="424"/>
    <n v="1"/>
    <x v="1"/>
    <x v="50"/>
    <n v="2"/>
    <n v="2"/>
    <x v="8"/>
    <n v="1"/>
    <x v="1"/>
    <x v="303"/>
    <n v="17822"/>
    <n v="3"/>
    <s v="Y"/>
    <x v="1"/>
    <n v="12"/>
    <n v="3"/>
    <n v="4"/>
    <n v="80"/>
    <n v="0"/>
    <n v="9"/>
    <n v="1"/>
    <n v="3"/>
    <n v="2"/>
    <n v="2"/>
    <x v="1"/>
    <x v="2"/>
  </r>
  <r>
    <x v="28"/>
    <x v="1"/>
    <x v="1"/>
    <n v="1249"/>
    <x v="1"/>
    <x v="15"/>
    <n v="3"/>
    <x v="0"/>
    <n v="1"/>
    <n v="425"/>
    <n v="1"/>
    <x v="1"/>
    <x v="28"/>
    <n v="3"/>
    <n v="3"/>
    <x v="2"/>
    <n v="1"/>
    <x v="2"/>
    <x v="304"/>
    <n v="20308"/>
    <n v="1"/>
    <s v="Y"/>
    <x v="1"/>
    <n v="18"/>
    <n v="3"/>
    <n v="1"/>
    <n v="80"/>
    <n v="1"/>
    <n v="24"/>
    <n v="2"/>
    <n v="3"/>
    <n v="24"/>
    <n v="9"/>
    <x v="10"/>
    <x v="7"/>
  </r>
  <r>
    <x v="12"/>
    <x v="1"/>
    <x v="0"/>
    <n v="192"/>
    <x v="1"/>
    <x v="2"/>
    <n v="4"/>
    <x v="0"/>
    <n v="1"/>
    <n v="426"/>
    <n v="3"/>
    <x v="1"/>
    <x v="47"/>
    <n v="3"/>
    <n v="1"/>
    <x v="1"/>
    <n v="4"/>
    <x v="2"/>
    <x v="305"/>
    <n v="7747"/>
    <n v="0"/>
    <s v="Y"/>
    <x v="0"/>
    <n v="18"/>
    <n v="3"/>
    <n v="2"/>
    <n v="80"/>
    <n v="1"/>
    <n v="3"/>
    <n v="2"/>
    <n v="1"/>
    <n v="2"/>
    <n v="2"/>
    <x v="3"/>
    <x v="3"/>
  </r>
  <r>
    <x v="3"/>
    <x v="1"/>
    <x v="1"/>
    <n v="553"/>
    <x v="1"/>
    <x v="12"/>
    <n v="4"/>
    <x v="0"/>
    <n v="1"/>
    <n v="428"/>
    <n v="4"/>
    <x v="0"/>
    <x v="69"/>
    <n v="3"/>
    <n v="3"/>
    <x v="5"/>
    <n v="2"/>
    <x v="1"/>
    <x v="306"/>
    <n v="23364"/>
    <n v="6"/>
    <s v="Y"/>
    <x v="1"/>
    <n v="11"/>
    <n v="3"/>
    <n v="2"/>
    <n v="80"/>
    <n v="2"/>
    <n v="12"/>
    <n v="2"/>
    <n v="3"/>
    <n v="10"/>
    <n v="6"/>
    <x v="6"/>
    <x v="5"/>
  </r>
  <r>
    <x v="22"/>
    <x v="1"/>
    <x v="0"/>
    <n v="117"/>
    <x v="1"/>
    <x v="17"/>
    <n v="1"/>
    <x v="2"/>
    <n v="1"/>
    <n v="429"/>
    <n v="3"/>
    <x v="1"/>
    <x v="39"/>
    <n v="3"/>
    <n v="4"/>
    <x v="5"/>
    <n v="1"/>
    <x v="1"/>
    <x v="307"/>
    <n v="5355"/>
    <n v="1"/>
    <s v="Y"/>
    <x v="0"/>
    <n v="14"/>
    <n v="3"/>
    <n v="4"/>
    <n v="80"/>
    <n v="0"/>
    <n v="21"/>
    <n v="3"/>
    <n v="3"/>
    <n v="21"/>
    <n v="9"/>
    <x v="14"/>
    <x v="13"/>
  </r>
  <r>
    <x v="23"/>
    <x v="1"/>
    <x v="1"/>
    <n v="185"/>
    <x v="1"/>
    <x v="17"/>
    <n v="4"/>
    <x v="0"/>
    <n v="1"/>
    <n v="430"/>
    <n v="3"/>
    <x v="0"/>
    <x v="30"/>
    <n v="3"/>
    <n v="1"/>
    <x v="2"/>
    <n v="4"/>
    <x v="0"/>
    <x v="308"/>
    <n v="10675"/>
    <n v="0"/>
    <s v="Y"/>
    <x v="1"/>
    <n v="19"/>
    <n v="3"/>
    <n v="1"/>
    <n v="80"/>
    <n v="0"/>
    <n v="9"/>
    <n v="5"/>
    <n v="3"/>
    <n v="8"/>
    <n v="7"/>
    <x v="1"/>
    <x v="1"/>
  </r>
  <r>
    <x v="1"/>
    <x v="1"/>
    <x v="0"/>
    <n v="1091"/>
    <x v="1"/>
    <x v="0"/>
    <n v="2"/>
    <x v="4"/>
    <n v="1"/>
    <n v="431"/>
    <n v="3"/>
    <x v="0"/>
    <x v="62"/>
    <n v="2"/>
    <n v="4"/>
    <x v="4"/>
    <n v="3"/>
    <x v="0"/>
    <x v="309"/>
    <n v="17810"/>
    <n v="7"/>
    <s v="Y"/>
    <x v="0"/>
    <n v="12"/>
    <n v="3"/>
    <n v="4"/>
    <n v="80"/>
    <n v="0"/>
    <n v="25"/>
    <n v="2"/>
    <n v="3"/>
    <n v="7"/>
    <n v="1"/>
    <x v="0"/>
    <x v="1"/>
  </r>
  <r>
    <x v="39"/>
    <x v="0"/>
    <x v="0"/>
    <n v="723"/>
    <x v="1"/>
    <x v="1"/>
    <n v="4"/>
    <x v="2"/>
    <n v="1"/>
    <n v="433"/>
    <n v="3"/>
    <x v="1"/>
    <x v="65"/>
    <n v="2"/>
    <n v="2"/>
    <x v="1"/>
    <n v="2"/>
    <x v="1"/>
    <x v="132"/>
    <n v="17747"/>
    <n v="2"/>
    <s v="Y"/>
    <x v="1"/>
    <n v="15"/>
    <n v="3"/>
    <n v="1"/>
    <n v="80"/>
    <n v="0"/>
    <n v="11"/>
    <n v="3"/>
    <n v="2"/>
    <n v="8"/>
    <n v="2"/>
    <x v="4"/>
    <x v="1"/>
  </r>
  <r>
    <x v="4"/>
    <x v="1"/>
    <x v="0"/>
    <n v="1220"/>
    <x v="1"/>
    <x v="12"/>
    <n v="3"/>
    <x v="0"/>
    <n v="1"/>
    <n v="434"/>
    <n v="3"/>
    <x v="0"/>
    <x v="65"/>
    <n v="3"/>
    <n v="1"/>
    <x v="1"/>
    <n v="2"/>
    <x v="0"/>
    <x v="310"/>
    <n v="20938"/>
    <n v="1"/>
    <s v="Y"/>
    <x v="0"/>
    <n v="12"/>
    <n v="3"/>
    <n v="2"/>
    <n v="80"/>
    <n v="0"/>
    <n v="4"/>
    <n v="2"/>
    <n v="2"/>
    <n v="4"/>
    <n v="3"/>
    <x v="1"/>
    <x v="3"/>
  </r>
  <r>
    <x v="5"/>
    <x v="1"/>
    <x v="0"/>
    <n v="588"/>
    <x v="0"/>
    <x v="1"/>
    <n v="2"/>
    <x v="4"/>
    <n v="1"/>
    <n v="436"/>
    <n v="3"/>
    <x v="0"/>
    <x v="63"/>
    <n v="2"/>
    <n v="2"/>
    <x v="0"/>
    <n v="2"/>
    <x v="1"/>
    <x v="311"/>
    <n v="24624"/>
    <n v="1"/>
    <s v="Y"/>
    <x v="0"/>
    <n v="11"/>
    <n v="3"/>
    <n v="4"/>
    <n v="80"/>
    <n v="0"/>
    <n v="13"/>
    <n v="2"/>
    <n v="3"/>
    <n v="13"/>
    <n v="12"/>
    <x v="14"/>
    <x v="12"/>
  </r>
  <r>
    <x v="4"/>
    <x v="1"/>
    <x v="0"/>
    <n v="1377"/>
    <x v="0"/>
    <x v="2"/>
    <n v="3"/>
    <x v="0"/>
    <n v="1"/>
    <n v="437"/>
    <n v="4"/>
    <x v="1"/>
    <x v="69"/>
    <n v="3"/>
    <n v="2"/>
    <x v="0"/>
    <n v="3"/>
    <x v="0"/>
    <x v="312"/>
    <n v="5242"/>
    <n v="1"/>
    <s v="Y"/>
    <x v="0"/>
    <n v="11"/>
    <n v="3"/>
    <n v="1"/>
    <n v="80"/>
    <n v="0"/>
    <n v="5"/>
    <n v="3"/>
    <n v="3"/>
    <n v="5"/>
    <n v="4"/>
    <x v="0"/>
    <x v="10"/>
  </r>
  <r>
    <x v="12"/>
    <x v="1"/>
    <x v="0"/>
    <n v="691"/>
    <x v="0"/>
    <x v="15"/>
    <n v="3"/>
    <x v="3"/>
    <n v="1"/>
    <n v="438"/>
    <n v="4"/>
    <x v="1"/>
    <x v="32"/>
    <n v="3"/>
    <n v="2"/>
    <x v="0"/>
    <n v="4"/>
    <x v="2"/>
    <x v="313"/>
    <n v="7143"/>
    <n v="4"/>
    <s v="Y"/>
    <x v="1"/>
    <n v="12"/>
    <n v="3"/>
    <n v="4"/>
    <n v="80"/>
    <n v="3"/>
    <n v="13"/>
    <n v="3"/>
    <n v="3"/>
    <n v="7"/>
    <n v="7"/>
    <x v="1"/>
    <x v="1"/>
  </r>
  <r>
    <x v="5"/>
    <x v="1"/>
    <x v="0"/>
    <n v="1018"/>
    <x v="1"/>
    <x v="2"/>
    <n v="4"/>
    <x v="2"/>
    <n v="1"/>
    <n v="439"/>
    <n v="1"/>
    <x v="0"/>
    <x v="69"/>
    <n v="4"/>
    <n v="2"/>
    <x v="1"/>
    <n v="4"/>
    <x v="0"/>
    <x v="314"/>
    <n v="10557"/>
    <n v="7"/>
    <s v="Y"/>
    <x v="1"/>
    <n v="16"/>
    <n v="3"/>
    <n v="3"/>
    <n v="80"/>
    <n v="0"/>
    <n v="10"/>
    <n v="0"/>
    <n v="2"/>
    <n v="7"/>
    <n v="7"/>
    <x v="0"/>
    <x v="1"/>
  </r>
  <r>
    <x v="14"/>
    <x v="0"/>
    <x v="0"/>
    <n v="1157"/>
    <x v="1"/>
    <x v="2"/>
    <n v="4"/>
    <x v="2"/>
    <n v="1"/>
    <n v="440"/>
    <n v="1"/>
    <x v="1"/>
    <x v="9"/>
    <n v="1"/>
    <n v="1"/>
    <x v="1"/>
    <n v="4"/>
    <x v="1"/>
    <x v="315"/>
    <n v="24737"/>
    <n v="5"/>
    <s v="Y"/>
    <x v="0"/>
    <n v="13"/>
    <n v="3"/>
    <n v="4"/>
    <n v="80"/>
    <n v="0"/>
    <n v="5"/>
    <n v="4"/>
    <n v="2"/>
    <n v="3"/>
    <n v="2"/>
    <x v="3"/>
    <x v="3"/>
  </r>
  <r>
    <x v="7"/>
    <x v="1"/>
    <x v="0"/>
    <n v="1275"/>
    <x v="1"/>
    <x v="26"/>
    <n v="2"/>
    <x v="2"/>
    <n v="1"/>
    <n v="441"/>
    <n v="4"/>
    <x v="0"/>
    <x v="51"/>
    <n v="3"/>
    <n v="2"/>
    <x v="1"/>
    <n v="4"/>
    <x v="1"/>
    <x v="316"/>
    <n v="11934"/>
    <n v="1"/>
    <s v="Y"/>
    <x v="1"/>
    <n v="13"/>
    <n v="3"/>
    <n v="4"/>
    <n v="80"/>
    <n v="2"/>
    <n v="11"/>
    <n v="2"/>
    <n v="3"/>
    <n v="10"/>
    <n v="8"/>
    <x v="1"/>
    <x v="12"/>
  </r>
  <r>
    <x v="12"/>
    <x v="1"/>
    <x v="1"/>
    <n v="798"/>
    <x v="1"/>
    <x v="15"/>
    <n v="2"/>
    <x v="0"/>
    <n v="1"/>
    <n v="442"/>
    <n v="3"/>
    <x v="0"/>
    <x v="24"/>
    <n v="2"/>
    <n v="3"/>
    <x v="3"/>
    <n v="3"/>
    <x v="1"/>
    <x v="317"/>
    <n v="14034"/>
    <n v="1"/>
    <s v="Y"/>
    <x v="1"/>
    <n v="24"/>
    <n v="4"/>
    <n v="1"/>
    <n v="80"/>
    <n v="1"/>
    <n v="10"/>
    <n v="2"/>
    <n v="3"/>
    <n v="10"/>
    <n v="9"/>
    <x v="6"/>
    <x v="12"/>
  </r>
  <r>
    <x v="22"/>
    <x v="1"/>
    <x v="1"/>
    <n v="672"/>
    <x v="1"/>
    <x v="15"/>
    <n v="2"/>
    <x v="2"/>
    <n v="1"/>
    <n v="444"/>
    <n v="3"/>
    <x v="1"/>
    <x v="60"/>
    <n v="2"/>
    <n v="5"/>
    <x v="5"/>
    <n v="4"/>
    <x v="1"/>
    <x v="318"/>
    <n v="21141"/>
    <n v="1"/>
    <s v="Y"/>
    <x v="1"/>
    <n v="15"/>
    <n v="3"/>
    <n v="1"/>
    <n v="80"/>
    <n v="1"/>
    <n v="21"/>
    <n v="2"/>
    <n v="3"/>
    <n v="21"/>
    <n v="9"/>
    <x v="11"/>
    <x v="6"/>
  </r>
  <r>
    <x v="22"/>
    <x v="0"/>
    <x v="0"/>
    <n v="1162"/>
    <x v="0"/>
    <x v="3"/>
    <n v="2"/>
    <x v="2"/>
    <n v="1"/>
    <n v="445"/>
    <n v="4"/>
    <x v="0"/>
    <x v="26"/>
    <n v="3"/>
    <n v="2"/>
    <x v="0"/>
    <n v="3"/>
    <x v="1"/>
    <x v="319"/>
    <n v="17778"/>
    <n v="4"/>
    <s v="Y"/>
    <x v="0"/>
    <n v="18"/>
    <n v="3"/>
    <n v="1"/>
    <n v="80"/>
    <n v="0"/>
    <n v="12"/>
    <n v="3"/>
    <n v="2"/>
    <n v="1"/>
    <n v="0"/>
    <x v="0"/>
    <x v="2"/>
  </r>
  <r>
    <x v="3"/>
    <x v="1"/>
    <x v="1"/>
    <n v="508"/>
    <x v="0"/>
    <x v="17"/>
    <n v="3"/>
    <x v="3"/>
    <n v="1"/>
    <n v="446"/>
    <n v="2"/>
    <x v="1"/>
    <x v="55"/>
    <n v="2"/>
    <n v="2"/>
    <x v="0"/>
    <n v="4"/>
    <x v="0"/>
    <x v="320"/>
    <n v="4317"/>
    <n v="3"/>
    <s v="Y"/>
    <x v="1"/>
    <n v="14"/>
    <n v="3"/>
    <n v="3"/>
    <n v="80"/>
    <n v="0"/>
    <n v="9"/>
    <n v="6"/>
    <n v="2"/>
    <n v="7"/>
    <n v="7"/>
    <x v="0"/>
    <x v="9"/>
  </r>
  <r>
    <x v="40"/>
    <x v="1"/>
    <x v="0"/>
    <n v="1482"/>
    <x v="1"/>
    <x v="12"/>
    <n v="5"/>
    <x v="0"/>
    <n v="1"/>
    <n v="447"/>
    <n v="4"/>
    <x v="1"/>
    <x v="25"/>
    <n v="3"/>
    <n v="5"/>
    <x v="7"/>
    <n v="3"/>
    <x v="1"/>
    <x v="321"/>
    <n v="16375"/>
    <n v="4"/>
    <s v="Y"/>
    <x v="1"/>
    <n v="11"/>
    <n v="3"/>
    <n v="2"/>
    <n v="80"/>
    <n v="1"/>
    <n v="21"/>
    <n v="2"/>
    <n v="3"/>
    <n v="3"/>
    <n v="2"/>
    <x v="1"/>
    <x v="9"/>
  </r>
  <r>
    <x v="23"/>
    <x v="1"/>
    <x v="1"/>
    <n v="559"/>
    <x v="1"/>
    <x v="17"/>
    <n v="4"/>
    <x v="0"/>
    <n v="1"/>
    <n v="448"/>
    <n v="3"/>
    <x v="0"/>
    <x v="19"/>
    <n v="2"/>
    <n v="2"/>
    <x v="2"/>
    <n v="3"/>
    <x v="2"/>
    <x v="322"/>
    <n v="6227"/>
    <n v="1"/>
    <s v="Y"/>
    <x v="1"/>
    <n v="11"/>
    <n v="3"/>
    <n v="2"/>
    <n v="80"/>
    <n v="1"/>
    <n v="9"/>
    <n v="3"/>
    <n v="4"/>
    <n v="9"/>
    <n v="7"/>
    <x v="0"/>
    <x v="2"/>
  </r>
  <r>
    <x v="4"/>
    <x v="1"/>
    <x v="2"/>
    <n v="210"/>
    <x v="0"/>
    <x v="0"/>
    <n v="1"/>
    <x v="3"/>
    <n v="1"/>
    <n v="449"/>
    <n v="3"/>
    <x v="1"/>
    <x v="32"/>
    <n v="3"/>
    <n v="2"/>
    <x v="0"/>
    <n v="2"/>
    <x v="1"/>
    <x v="323"/>
    <n v="22107"/>
    <n v="0"/>
    <s v="Y"/>
    <x v="0"/>
    <n v="13"/>
    <n v="3"/>
    <n v="4"/>
    <n v="80"/>
    <n v="1"/>
    <n v="6"/>
    <n v="0"/>
    <n v="3"/>
    <n v="5"/>
    <n v="4"/>
    <x v="1"/>
    <x v="10"/>
  </r>
  <r>
    <x v="33"/>
    <x v="1"/>
    <x v="1"/>
    <n v="928"/>
    <x v="1"/>
    <x v="25"/>
    <n v="4"/>
    <x v="0"/>
    <n v="1"/>
    <n v="450"/>
    <n v="4"/>
    <x v="0"/>
    <x v="11"/>
    <n v="3"/>
    <n v="2"/>
    <x v="1"/>
    <n v="3"/>
    <x v="0"/>
    <x v="324"/>
    <n v="16885"/>
    <n v="3"/>
    <s v="Y"/>
    <x v="1"/>
    <n v="12"/>
    <n v="3"/>
    <n v="4"/>
    <n v="80"/>
    <n v="0"/>
    <n v="20"/>
    <n v="4"/>
    <n v="2"/>
    <n v="4"/>
    <n v="3"/>
    <x v="0"/>
    <x v="6"/>
  </r>
  <r>
    <x v="23"/>
    <x v="1"/>
    <x v="0"/>
    <n v="1001"/>
    <x v="1"/>
    <x v="15"/>
    <n v="3"/>
    <x v="0"/>
    <n v="1"/>
    <n v="451"/>
    <n v="3"/>
    <x v="0"/>
    <x v="38"/>
    <n v="3"/>
    <n v="3"/>
    <x v="4"/>
    <n v="1"/>
    <x v="1"/>
    <x v="325"/>
    <n v="9262"/>
    <n v="8"/>
    <s v="Y"/>
    <x v="1"/>
    <n v="16"/>
    <n v="3"/>
    <n v="1"/>
    <n v="80"/>
    <n v="1"/>
    <n v="10"/>
    <n v="1"/>
    <n v="2"/>
    <n v="1"/>
    <n v="0"/>
    <x v="0"/>
    <x v="2"/>
  </r>
  <r>
    <x v="28"/>
    <x v="1"/>
    <x v="0"/>
    <n v="549"/>
    <x v="1"/>
    <x v="1"/>
    <n v="4"/>
    <x v="1"/>
    <n v="1"/>
    <n v="452"/>
    <n v="4"/>
    <x v="1"/>
    <x v="29"/>
    <n v="3"/>
    <n v="2"/>
    <x v="1"/>
    <n v="4"/>
    <x v="1"/>
    <x v="326"/>
    <n v="9278"/>
    <n v="9"/>
    <s v="Y"/>
    <x v="1"/>
    <n v="14"/>
    <n v="3"/>
    <n v="1"/>
    <n v="80"/>
    <n v="2"/>
    <n v="12"/>
    <n v="3"/>
    <n v="3"/>
    <n v="10"/>
    <n v="9"/>
    <x v="10"/>
    <x v="5"/>
  </r>
  <r>
    <x v="32"/>
    <x v="1"/>
    <x v="0"/>
    <n v="1124"/>
    <x v="0"/>
    <x v="0"/>
    <n v="2"/>
    <x v="2"/>
    <n v="1"/>
    <n v="453"/>
    <n v="2"/>
    <x v="1"/>
    <x v="42"/>
    <n v="1"/>
    <n v="2"/>
    <x v="0"/>
    <n v="4"/>
    <x v="1"/>
    <x v="327"/>
    <n v="13273"/>
    <n v="2"/>
    <s v="Y"/>
    <x v="0"/>
    <n v="22"/>
    <n v="4"/>
    <n v="3"/>
    <n v="80"/>
    <n v="3"/>
    <n v="6"/>
    <n v="2"/>
    <n v="2"/>
    <n v="4"/>
    <n v="3"/>
    <x v="0"/>
    <x v="3"/>
  </r>
  <r>
    <x v="11"/>
    <x v="0"/>
    <x v="0"/>
    <n v="318"/>
    <x v="1"/>
    <x v="1"/>
    <n v="4"/>
    <x v="1"/>
    <n v="1"/>
    <n v="454"/>
    <n v="2"/>
    <x v="1"/>
    <x v="57"/>
    <n v="1"/>
    <n v="1"/>
    <x v="2"/>
    <n v="1"/>
    <x v="1"/>
    <x v="328"/>
    <n v="4759"/>
    <n v="1"/>
    <s v="Y"/>
    <x v="0"/>
    <n v="11"/>
    <n v="3"/>
    <n v="4"/>
    <n v="80"/>
    <n v="0"/>
    <n v="7"/>
    <n v="4"/>
    <n v="2"/>
    <n v="7"/>
    <n v="7"/>
    <x v="0"/>
    <x v="1"/>
  </r>
  <r>
    <x v="11"/>
    <x v="1"/>
    <x v="0"/>
    <n v="738"/>
    <x v="1"/>
    <x v="14"/>
    <n v="5"/>
    <x v="1"/>
    <n v="1"/>
    <n v="455"/>
    <n v="2"/>
    <x v="1"/>
    <x v="37"/>
    <n v="2"/>
    <n v="1"/>
    <x v="2"/>
    <n v="4"/>
    <x v="0"/>
    <x v="329"/>
    <n v="7621"/>
    <n v="0"/>
    <s v="Y"/>
    <x v="1"/>
    <n v="17"/>
    <n v="3"/>
    <n v="3"/>
    <n v="80"/>
    <n v="0"/>
    <n v="4"/>
    <n v="2"/>
    <n v="3"/>
    <n v="3"/>
    <n v="2"/>
    <x v="3"/>
    <x v="3"/>
  </r>
  <r>
    <x v="7"/>
    <x v="1"/>
    <x v="0"/>
    <n v="570"/>
    <x v="0"/>
    <x v="12"/>
    <n v="3"/>
    <x v="3"/>
    <n v="1"/>
    <n v="456"/>
    <n v="4"/>
    <x v="0"/>
    <x v="37"/>
    <n v="2"/>
    <n v="2"/>
    <x v="0"/>
    <n v="3"/>
    <x v="2"/>
    <x v="330"/>
    <n v="5431"/>
    <n v="1"/>
    <s v="Y"/>
    <x v="1"/>
    <n v="13"/>
    <n v="3"/>
    <n v="3"/>
    <n v="80"/>
    <n v="3"/>
    <n v="10"/>
    <n v="2"/>
    <n v="3"/>
    <n v="10"/>
    <n v="9"/>
    <x v="1"/>
    <x v="3"/>
  </r>
  <r>
    <x v="4"/>
    <x v="1"/>
    <x v="0"/>
    <n v="1130"/>
    <x v="0"/>
    <x v="1"/>
    <n v="4"/>
    <x v="3"/>
    <n v="1"/>
    <n v="458"/>
    <n v="2"/>
    <x v="0"/>
    <x v="3"/>
    <n v="3"/>
    <n v="2"/>
    <x v="0"/>
    <n v="2"/>
    <x v="1"/>
    <x v="331"/>
    <n v="3415"/>
    <n v="1"/>
    <s v="Y"/>
    <x v="1"/>
    <n v="18"/>
    <n v="3"/>
    <n v="1"/>
    <n v="80"/>
    <n v="1"/>
    <n v="8"/>
    <n v="3"/>
    <n v="3"/>
    <n v="8"/>
    <n v="7"/>
    <x v="0"/>
    <x v="1"/>
  </r>
  <r>
    <x v="2"/>
    <x v="1"/>
    <x v="0"/>
    <n v="1192"/>
    <x v="1"/>
    <x v="12"/>
    <n v="2"/>
    <x v="2"/>
    <n v="1"/>
    <n v="460"/>
    <n v="4"/>
    <x v="1"/>
    <x v="1"/>
    <n v="3"/>
    <n v="2"/>
    <x v="3"/>
    <n v="4"/>
    <x v="2"/>
    <x v="136"/>
    <n v="23177"/>
    <n v="7"/>
    <s v="Y"/>
    <x v="1"/>
    <n v="16"/>
    <n v="3"/>
    <n v="3"/>
    <n v="80"/>
    <n v="2"/>
    <n v="8"/>
    <n v="2"/>
    <n v="2"/>
    <n v="6"/>
    <n v="2"/>
    <x v="0"/>
    <x v="10"/>
  </r>
  <r>
    <x v="8"/>
    <x v="1"/>
    <x v="0"/>
    <n v="343"/>
    <x v="1"/>
    <x v="8"/>
    <n v="2"/>
    <x v="0"/>
    <n v="1"/>
    <n v="461"/>
    <n v="3"/>
    <x v="1"/>
    <x v="2"/>
    <n v="2"/>
    <n v="3"/>
    <x v="7"/>
    <n v="4"/>
    <x v="2"/>
    <x v="332"/>
    <n v="15682"/>
    <n v="0"/>
    <s v="Y"/>
    <x v="0"/>
    <n v="14"/>
    <n v="3"/>
    <n v="2"/>
    <n v="80"/>
    <n v="1"/>
    <n v="12"/>
    <n v="3"/>
    <n v="3"/>
    <n v="11"/>
    <n v="10"/>
    <x v="3"/>
    <x v="12"/>
  </r>
  <r>
    <x v="12"/>
    <x v="1"/>
    <x v="0"/>
    <n v="1232"/>
    <x v="1"/>
    <x v="15"/>
    <n v="4"/>
    <x v="2"/>
    <n v="1"/>
    <n v="462"/>
    <n v="3"/>
    <x v="0"/>
    <x v="56"/>
    <n v="3"/>
    <n v="3"/>
    <x v="3"/>
    <n v="4"/>
    <x v="0"/>
    <x v="333"/>
    <n v="25713"/>
    <n v="1"/>
    <s v="Y"/>
    <x v="0"/>
    <n v="14"/>
    <n v="3"/>
    <n v="3"/>
    <n v="80"/>
    <n v="0"/>
    <n v="11"/>
    <n v="2"/>
    <n v="2"/>
    <n v="11"/>
    <n v="9"/>
    <x v="5"/>
    <x v="13"/>
  </r>
  <r>
    <x v="11"/>
    <x v="1"/>
    <x v="0"/>
    <n v="144"/>
    <x v="0"/>
    <x v="17"/>
    <n v="1"/>
    <x v="3"/>
    <n v="1"/>
    <n v="463"/>
    <n v="4"/>
    <x v="0"/>
    <x v="56"/>
    <n v="2"/>
    <n v="2"/>
    <x v="0"/>
    <n v="2"/>
    <x v="2"/>
    <x v="334"/>
    <n v="11866"/>
    <n v="1"/>
    <s v="Y"/>
    <x v="0"/>
    <n v="14"/>
    <n v="3"/>
    <n v="1"/>
    <n v="80"/>
    <n v="2"/>
    <n v="7"/>
    <n v="2"/>
    <n v="3"/>
    <n v="7"/>
    <n v="7"/>
    <x v="1"/>
    <x v="1"/>
  </r>
  <r>
    <x v="10"/>
    <x v="1"/>
    <x v="0"/>
    <n v="1296"/>
    <x v="1"/>
    <x v="12"/>
    <n v="4"/>
    <x v="4"/>
    <n v="1"/>
    <n v="464"/>
    <n v="3"/>
    <x v="1"/>
    <x v="50"/>
    <n v="3"/>
    <n v="3"/>
    <x v="3"/>
    <n v="2"/>
    <x v="0"/>
    <x v="335"/>
    <n v="18264"/>
    <n v="0"/>
    <s v="Y"/>
    <x v="1"/>
    <n v="13"/>
    <n v="3"/>
    <n v="4"/>
    <n v="80"/>
    <n v="0"/>
    <n v="17"/>
    <n v="5"/>
    <n v="3"/>
    <n v="16"/>
    <n v="6"/>
    <x v="0"/>
    <x v="15"/>
  </r>
  <r>
    <x v="30"/>
    <x v="1"/>
    <x v="0"/>
    <n v="1309"/>
    <x v="1"/>
    <x v="9"/>
    <n v="1"/>
    <x v="0"/>
    <n v="1"/>
    <n v="465"/>
    <n v="3"/>
    <x v="1"/>
    <x v="21"/>
    <n v="3"/>
    <n v="1"/>
    <x v="1"/>
    <n v="4"/>
    <x v="2"/>
    <x v="336"/>
    <n v="16092"/>
    <n v="1"/>
    <s v="Y"/>
    <x v="1"/>
    <n v="12"/>
    <n v="3"/>
    <n v="3"/>
    <n v="80"/>
    <n v="2"/>
    <n v="4"/>
    <n v="2"/>
    <n v="2"/>
    <n v="4"/>
    <n v="2"/>
    <x v="0"/>
    <x v="3"/>
  </r>
  <r>
    <x v="0"/>
    <x v="1"/>
    <x v="0"/>
    <n v="483"/>
    <x v="1"/>
    <x v="16"/>
    <n v="3"/>
    <x v="2"/>
    <n v="1"/>
    <n v="466"/>
    <n v="4"/>
    <x v="1"/>
    <x v="41"/>
    <n v="2"/>
    <n v="2"/>
    <x v="3"/>
    <n v="2"/>
    <x v="0"/>
    <x v="337"/>
    <n v="10110"/>
    <n v="6"/>
    <s v="Y"/>
    <x v="0"/>
    <n v="15"/>
    <n v="3"/>
    <n v="4"/>
    <n v="80"/>
    <n v="0"/>
    <n v="8"/>
    <n v="3"/>
    <n v="3"/>
    <n v="5"/>
    <n v="4"/>
    <x v="1"/>
    <x v="3"/>
  </r>
  <r>
    <x v="40"/>
    <x v="1"/>
    <x v="1"/>
    <n v="1309"/>
    <x v="0"/>
    <x v="18"/>
    <n v="1"/>
    <x v="2"/>
    <n v="1"/>
    <n v="467"/>
    <n v="2"/>
    <x v="1"/>
    <x v="39"/>
    <n v="3"/>
    <n v="2"/>
    <x v="6"/>
    <n v="3"/>
    <x v="0"/>
    <x v="338"/>
    <n v="25751"/>
    <n v="3"/>
    <s v="Y"/>
    <x v="1"/>
    <n v="19"/>
    <n v="3"/>
    <n v="1"/>
    <n v="80"/>
    <n v="0"/>
    <n v="5"/>
    <n v="3"/>
    <n v="3"/>
    <n v="0"/>
    <n v="0"/>
    <x v="0"/>
    <x v="2"/>
  </r>
  <r>
    <x v="19"/>
    <x v="1"/>
    <x v="0"/>
    <n v="810"/>
    <x v="1"/>
    <x v="5"/>
    <n v="5"/>
    <x v="0"/>
    <n v="1"/>
    <n v="468"/>
    <n v="1"/>
    <x v="0"/>
    <x v="8"/>
    <n v="3"/>
    <n v="4"/>
    <x v="7"/>
    <n v="4"/>
    <x v="0"/>
    <x v="339"/>
    <n v="15901"/>
    <n v="2"/>
    <s v="Y"/>
    <x v="1"/>
    <n v="14"/>
    <n v="3"/>
    <n v="2"/>
    <n v="80"/>
    <n v="0"/>
    <n v="16"/>
    <n v="2"/>
    <n v="3"/>
    <n v="1"/>
    <n v="0"/>
    <x v="0"/>
    <x v="2"/>
  </r>
  <r>
    <x v="11"/>
    <x v="1"/>
    <x v="2"/>
    <n v="746"/>
    <x v="0"/>
    <x v="2"/>
    <n v="3"/>
    <x v="0"/>
    <n v="1"/>
    <n v="469"/>
    <n v="4"/>
    <x v="1"/>
    <x v="1"/>
    <n v="3"/>
    <n v="2"/>
    <x v="0"/>
    <n v="3"/>
    <x v="1"/>
    <x v="340"/>
    <n v="16928"/>
    <n v="1"/>
    <s v="Y"/>
    <x v="1"/>
    <n v="14"/>
    <n v="3"/>
    <n v="1"/>
    <n v="80"/>
    <n v="1"/>
    <n v="4"/>
    <n v="3"/>
    <n v="2"/>
    <n v="4"/>
    <n v="3"/>
    <x v="0"/>
    <x v="3"/>
  </r>
  <r>
    <x v="19"/>
    <x v="1"/>
    <x v="0"/>
    <n v="544"/>
    <x v="2"/>
    <x v="2"/>
    <n v="1"/>
    <x v="4"/>
    <n v="1"/>
    <n v="470"/>
    <n v="3"/>
    <x v="1"/>
    <x v="48"/>
    <n v="3"/>
    <n v="1"/>
    <x v="8"/>
    <n v="3"/>
    <x v="2"/>
    <x v="341"/>
    <n v="24017"/>
    <n v="0"/>
    <s v="Y"/>
    <x v="0"/>
    <n v="11"/>
    <n v="3"/>
    <n v="3"/>
    <n v="80"/>
    <n v="1"/>
    <n v="4"/>
    <n v="5"/>
    <n v="3"/>
    <n v="3"/>
    <n v="2"/>
    <x v="1"/>
    <x v="2"/>
  </r>
  <r>
    <x v="5"/>
    <x v="1"/>
    <x v="0"/>
    <n v="1062"/>
    <x v="1"/>
    <x v="2"/>
    <n v="3"/>
    <x v="2"/>
    <n v="1"/>
    <n v="471"/>
    <n v="3"/>
    <x v="0"/>
    <x v="29"/>
    <n v="3"/>
    <n v="1"/>
    <x v="2"/>
    <n v="2"/>
    <x v="1"/>
    <x v="342"/>
    <n v="3956"/>
    <n v="1"/>
    <s v="Y"/>
    <x v="1"/>
    <n v="13"/>
    <n v="3"/>
    <n v="3"/>
    <n v="80"/>
    <n v="1"/>
    <n v="8"/>
    <n v="4"/>
    <n v="3"/>
    <n v="8"/>
    <n v="0"/>
    <x v="0"/>
    <x v="1"/>
  </r>
  <r>
    <x v="26"/>
    <x v="1"/>
    <x v="0"/>
    <n v="530"/>
    <x v="0"/>
    <x v="22"/>
    <n v="1"/>
    <x v="2"/>
    <n v="1"/>
    <n v="473"/>
    <n v="1"/>
    <x v="0"/>
    <x v="59"/>
    <n v="3"/>
    <n v="3"/>
    <x v="5"/>
    <n v="3"/>
    <x v="1"/>
    <x v="343"/>
    <n v="23978"/>
    <n v="3"/>
    <s v="Y"/>
    <x v="1"/>
    <n v="21"/>
    <n v="4"/>
    <n v="2"/>
    <n v="80"/>
    <n v="1"/>
    <n v="15"/>
    <n v="3"/>
    <n v="1"/>
    <n v="0"/>
    <n v="0"/>
    <x v="0"/>
    <x v="2"/>
  </r>
  <r>
    <x v="2"/>
    <x v="1"/>
    <x v="0"/>
    <n v="1319"/>
    <x v="1"/>
    <x v="16"/>
    <n v="3"/>
    <x v="2"/>
    <n v="1"/>
    <n v="474"/>
    <n v="3"/>
    <x v="1"/>
    <x v="14"/>
    <n v="4"/>
    <n v="2"/>
    <x v="1"/>
    <n v="1"/>
    <x v="2"/>
    <x v="344"/>
    <n v="17001"/>
    <n v="4"/>
    <s v="Y"/>
    <x v="0"/>
    <n v="13"/>
    <n v="3"/>
    <n v="1"/>
    <n v="80"/>
    <n v="2"/>
    <n v="13"/>
    <n v="2"/>
    <n v="3"/>
    <n v="7"/>
    <n v="7"/>
    <x v="7"/>
    <x v="1"/>
  </r>
  <r>
    <x v="7"/>
    <x v="1"/>
    <x v="2"/>
    <n v="641"/>
    <x v="0"/>
    <x v="19"/>
    <n v="2"/>
    <x v="4"/>
    <n v="1"/>
    <n v="475"/>
    <n v="4"/>
    <x v="0"/>
    <x v="65"/>
    <n v="3"/>
    <n v="2"/>
    <x v="0"/>
    <n v="3"/>
    <x v="1"/>
    <x v="345"/>
    <n v="6069"/>
    <n v="7"/>
    <s v="Y"/>
    <x v="0"/>
    <n v="12"/>
    <n v="3"/>
    <n v="2"/>
    <n v="80"/>
    <n v="1"/>
    <n v="4"/>
    <n v="2"/>
    <n v="4"/>
    <n v="2"/>
    <n v="2"/>
    <x v="3"/>
    <x v="3"/>
  </r>
  <r>
    <x v="25"/>
    <x v="1"/>
    <x v="0"/>
    <n v="933"/>
    <x v="0"/>
    <x v="0"/>
    <n v="3"/>
    <x v="0"/>
    <n v="1"/>
    <n v="476"/>
    <n v="3"/>
    <x v="1"/>
    <x v="42"/>
    <n v="3"/>
    <n v="2"/>
    <x v="0"/>
    <n v="3"/>
    <x v="1"/>
    <x v="346"/>
    <n v="20156"/>
    <n v="1"/>
    <s v="Y"/>
    <x v="1"/>
    <n v="17"/>
    <n v="3"/>
    <n v="2"/>
    <n v="80"/>
    <n v="1"/>
    <n v="8"/>
    <n v="3"/>
    <n v="3"/>
    <n v="8"/>
    <n v="7"/>
    <x v="4"/>
    <x v="1"/>
  </r>
  <r>
    <x v="19"/>
    <x v="1"/>
    <x v="0"/>
    <n v="1332"/>
    <x v="1"/>
    <x v="2"/>
    <n v="4"/>
    <x v="1"/>
    <n v="1"/>
    <n v="477"/>
    <n v="1"/>
    <x v="1"/>
    <x v="33"/>
    <n v="2"/>
    <n v="2"/>
    <x v="4"/>
    <n v="4"/>
    <x v="0"/>
    <x v="347"/>
    <n v="17078"/>
    <n v="3"/>
    <s v="Y"/>
    <x v="1"/>
    <n v="23"/>
    <n v="4"/>
    <n v="2"/>
    <n v="80"/>
    <n v="0"/>
    <n v="14"/>
    <n v="6"/>
    <n v="3"/>
    <n v="1"/>
    <n v="0"/>
    <x v="0"/>
    <x v="2"/>
  </r>
  <r>
    <x v="18"/>
    <x v="0"/>
    <x v="1"/>
    <n v="756"/>
    <x v="0"/>
    <x v="0"/>
    <n v="1"/>
    <x v="4"/>
    <n v="1"/>
    <n v="478"/>
    <n v="1"/>
    <x v="0"/>
    <x v="39"/>
    <n v="2"/>
    <n v="1"/>
    <x v="6"/>
    <n v="2"/>
    <x v="0"/>
    <x v="348"/>
    <n v="9150"/>
    <n v="1"/>
    <s v="Y"/>
    <x v="0"/>
    <n v="11"/>
    <n v="3"/>
    <n v="3"/>
    <n v="80"/>
    <n v="0"/>
    <n v="3"/>
    <n v="3"/>
    <n v="3"/>
    <n v="3"/>
    <n v="2"/>
    <x v="1"/>
    <x v="3"/>
  </r>
  <r>
    <x v="9"/>
    <x v="1"/>
    <x v="2"/>
    <n v="845"/>
    <x v="0"/>
    <x v="0"/>
    <n v="5"/>
    <x v="2"/>
    <n v="1"/>
    <n v="479"/>
    <n v="4"/>
    <x v="0"/>
    <x v="18"/>
    <n v="3"/>
    <n v="2"/>
    <x v="0"/>
    <n v="4"/>
    <x v="0"/>
    <x v="349"/>
    <n v="15276"/>
    <n v="4"/>
    <s v="Y"/>
    <x v="1"/>
    <n v="15"/>
    <n v="3"/>
    <n v="2"/>
    <n v="80"/>
    <n v="0"/>
    <n v="7"/>
    <n v="6"/>
    <n v="3"/>
    <n v="1"/>
    <n v="0"/>
    <x v="0"/>
    <x v="2"/>
  </r>
  <r>
    <x v="9"/>
    <x v="1"/>
    <x v="1"/>
    <n v="541"/>
    <x v="0"/>
    <x v="3"/>
    <n v="4"/>
    <x v="2"/>
    <n v="1"/>
    <n v="481"/>
    <n v="1"/>
    <x v="1"/>
    <x v="24"/>
    <n v="2"/>
    <n v="3"/>
    <x v="0"/>
    <n v="4"/>
    <x v="1"/>
    <x v="350"/>
    <n v="7246"/>
    <n v="4"/>
    <s v="Y"/>
    <x v="1"/>
    <n v="11"/>
    <n v="3"/>
    <n v="1"/>
    <n v="80"/>
    <n v="1"/>
    <n v="16"/>
    <n v="2"/>
    <n v="3"/>
    <n v="13"/>
    <n v="9"/>
    <x v="1"/>
    <x v="11"/>
  </r>
  <r>
    <x v="38"/>
    <x v="1"/>
    <x v="0"/>
    <n v="593"/>
    <x v="1"/>
    <x v="0"/>
    <n v="4"/>
    <x v="2"/>
    <n v="1"/>
    <n v="482"/>
    <n v="4"/>
    <x v="1"/>
    <x v="64"/>
    <n v="3"/>
    <n v="2"/>
    <x v="4"/>
    <n v="3"/>
    <x v="1"/>
    <x v="351"/>
    <n v="2967"/>
    <n v="2"/>
    <s v="Y"/>
    <x v="1"/>
    <n v="11"/>
    <n v="3"/>
    <n v="3"/>
    <n v="80"/>
    <n v="0"/>
    <n v="15"/>
    <n v="2"/>
    <n v="3"/>
    <n v="3"/>
    <n v="2"/>
    <x v="1"/>
    <x v="3"/>
  </r>
  <r>
    <x v="32"/>
    <x v="1"/>
    <x v="0"/>
    <n v="1171"/>
    <x v="1"/>
    <x v="17"/>
    <n v="4"/>
    <x v="0"/>
    <n v="1"/>
    <n v="483"/>
    <n v="4"/>
    <x v="0"/>
    <x v="55"/>
    <n v="4"/>
    <n v="1"/>
    <x v="2"/>
    <n v="3"/>
    <x v="1"/>
    <x v="352"/>
    <n v="22495"/>
    <n v="3"/>
    <s v="Y"/>
    <x v="0"/>
    <n v="13"/>
    <n v="3"/>
    <n v="3"/>
    <n v="80"/>
    <n v="1"/>
    <n v="10"/>
    <n v="3"/>
    <n v="3"/>
    <n v="7"/>
    <n v="7"/>
    <x v="1"/>
    <x v="1"/>
  </r>
  <r>
    <x v="18"/>
    <x v="1"/>
    <x v="2"/>
    <n v="895"/>
    <x v="0"/>
    <x v="14"/>
    <n v="2"/>
    <x v="2"/>
    <n v="1"/>
    <n v="484"/>
    <n v="1"/>
    <x v="1"/>
    <x v="56"/>
    <n v="3"/>
    <n v="1"/>
    <x v="6"/>
    <n v="4"/>
    <x v="0"/>
    <x v="353"/>
    <n v="2851"/>
    <n v="1"/>
    <s v="Y"/>
    <x v="1"/>
    <n v="24"/>
    <n v="4"/>
    <n v="3"/>
    <n v="80"/>
    <n v="0"/>
    <n v="3"/>
    <n v="3"/>
    <n v="2"/>
    <n v="3"/>
    <n v="2"/>
    <x v="3"/>
    <x v="3"/>
  </r>
  <r>
    <x v="3"/>
    <x v="0"/>
    <x v="0"/>
    <n v="350"/>
    <x v="0"/>
    <x v="12"/>
    <n v="3"/>
    <x v="3"/>
    <n v="1"/>
    <n v="485"/>
    <n v="4"/>
    <x v="0"/>
    <x v="61"/>
    <n v="3"/>
    <n v="1"/>
    <x v="6"/>
    <n v="3"/>
    <x v="0"/>
    <x v="354"/>
    <n v="9150"/>
    <n v="1"/>
    <s v="Y"/>
    <x v="0"/>
    <n v="13"/>
    <n v="3"/>
    <n v="2"/>
    <n v="80"/>
    <n v="0"/>
    <n v="1"/>
    <n v="2"/>
    <n v="3"/>
    <n v="1"/>
    <n v="0"/>
    <x v="0"/>
    <x v="2"/>
  </r>
  <r>
    <x v="2"/>
    <x v="1"/>
    <x v="0"/>
    <n v="921"/>
    <x v="1"/>
    <x v="17"/>
    <n v="3"/>
    <x v="2"/>
    <n v="1"/>
    <n v="486"/>
    <n v="3"/>
    <x v="0"/>
    <x v="33"/>
    <n v="3"/>
    <n v="1"/>
    <x v="2"/>
    <n v="1"/>
    <x v="1"/>
    <x v="138"/>
    <n v="17663"/>
    <n v="6"/>
    <s v="Y"/>
    <x v="1"/>
    <n v="20"/>
    <n v="4"/>
    <n v="2"/>
    <n v="80"/>
    <n v="1"/>
    <n v="17"/>
    <n v="3"/>
    <n v="3"/>
    <n v="5"/>
    <n v="4"/>
    <x v="0"/>
    <x v="6"/>
  </r>
  <r>
    <x v="21"/>
    <x v="1"/>
    <x v="2"/>
    <n v="1144"/>
    <x v="1"/>
    <x v="15"/>
    <n v="4"/>
    <x v="2"/>
    <n v="1"/>
    <n v="487"/>
    <n v="3"/>
    <x v="0"/>
    <x v="37"/>
    <n v="3"/>
    <n v="2"/>
    <x v="3"/>
    <n v="3"/>
    <x v="1"/>
    <x v="355"/>
    <n v="16044"/>
    <n v="2"/>
    <s v="Y"/>
    <x v="1"/>
    <n v="14"/>
    <n v="3"/>
    <n v="3"/>
    <n v="80"/>
    <n v="0"/>
    <n v="7"/>
    <n v="2"/>
    <n v="4"/>
    <n v="1"/>
    <n v="0"/>
    <x v="0"/>
    <x v="2"/>
  </r>
  <r>
    <x v="0"/>
    <x v="0"/>
    <x v="1"/>
    <n v="143"/>
    <x v="0"/>
    <x v="18"/>
    <n v="3"/>
    <x v="3"/>
    <n v="1"/>
    <n v="488"/>
    <n v="1"/>
    <x v="1"/>
    <x v="3"/>
    <n v="3"/>
    <n v="2"/>
    <x v="0"/>
    <n v="2"/>
    <x v="0"/>
    <x v="356"/>
    <n v="9558"/>
    <n v="1"/>
    <s v="Y"/>
    <x v="1"/>
    <n v="18"/>
    <n v="3"/>
    <n v="3"/>
    <n v="80"/>
    <n v="0"/>
    <n v="8"/>
    <n v="5"/>
    <n v="3"/>
    <n v="8"/>
    <n v="7"/>
    <x v="4"/>
    <x v="1"/>
  </r>
  <r>
    <x v="24"/>
    <x v="1"/>
    <x v="0"/>
    <n v="1046"/>
    <x v="1"/>
    <x v="17"/>
    <n v="3"/>
    <x v="4"/>
    <n v="1"/>
    <n v="491"/>
    <n v="4"/>
    <x v="1"/>
    <x v="54"/>
    <n v="2"/>
    <n v="3"/>
    <x v="4"/>
    <n v="4"/>
    <x v="0"/>
    <x v="357"/>
    <n v="2755"/>
    <n v="6"/>
    <s v="Y"/>
    <x v="1"/>
    <n v="15"/>
    <n v="3"/>
    <n v="4"/>
    <n v="80"/>
    <n v="0"/>
    <n v="20"/>
    <n v="2"/>
    <n v="3"/>
    <n v="4"/>
    <n v="3"/>
    <x v="1"/>
    <x v="6"/>
  </r>
  <r>
    <x v="32"/>
    <x v="0"/>
    <x v="0"/>
    <n v="575"/>
    <x v="0"/>
    <x v="23"/>
    <n v="2"/>
    <x v="3"/>
    <n v="1"/>
    <n v="492"/>
    <n v="3"/>
    <x v="1"/>
    <x v="67"/>
    <n v="2"/>
    <n v="2"/>
    <x v="0"/>
    <n v="3"/>
    <x v="1"/>
    <x v="358"/>
    <n v="6110"/>
    <n v="2"/>
    <s v="Y"/>
    <x v="0"/>
    <n v="12"/>
    <n v="3"/>
    <n v="1"/>
    <n v="80"/>
    <n v="2"/>
    <n v="8"/>
    <n v="6"/>
    <n v="3"/>
    <n v="6"/>
    <n v="4"/>
    <x v="1"/>
    <x v="2"/>
  </r>
  <r>
    <x v="12"/>
    <x v="1"/>
    <x v="0"/>
    <n v="408"/>
    <x v="1"/>
    <x v="14"/>
    <n v="4"/>
    <x v="0"/>
    <n v="1"/>
    <n v="493"/>
    <n v="3"/>
    <x v="1"/>
    <x v="25"/>
    <n v="2"/>
    <n v="1"/>
    <x v="1"/>
    <n v="2"/>
    <x v="0"/>
    <x v="210"/>
    <n v="7551"/>
    <n v="0"/>
    <s v="Y"/>
    <x v="0"/>
    <n v="16"/>
    <n v="3"/>
    <n v="4"/>
    <n v="80"/>
    <n v="0"/>
    <n v="3"/>
    <n v="5"/>
    <n v="3"/>
    <n v="2"/>
    <n v="2"/>
    <x v="3"/>
    <x v="3"/>
  </r>
  <r>
    <x v="18"/>
    <x v="0"/>
    <x v="0"/>
    <n v="156"/>
    <x v="0"/>
    <x v="20"/>
    <n v="3"/>
    <x v="0"/>
    <n v="1"/>
    <n v="494"/>
    <n v="3"/>
    <x v="0"/>
    <x v="62"/>
    <n v="4"/>
    <n v="1"/>
    <x v="6"/>
    <n v="2"/>
    <x v="0"/>
    <x v="359"/>
    <n v="25422"/>
    <n v="1"/>
    <s v="Y"/>
    <x v="1"/>
    <n v="15"/>
    <n v="3"/>
    <n v="4"/>
    <n v="80"/>
    <n v="0"/>
    <n v="1"/>
    <n v="0"/>
    <n v="3"/>
    <n v="1"/>
    <n v="0"/>
    <x v="0"/>
    <x v="2"/>
  </r>
  <r>
    <x v="11"/>
    <x v="1"/>
    <x v="0"/>
    <n v="1283"/>
    <x v="1"/>
    <x v="5"/>
    <n v="3"/>
    <x v="0"/>
    <n v="1"/>
    <n v="495"/>
    <n v="4"/>
    <x v="1"/>
    <x v="60"/>
    <n v="3"/>
    <n v="1"/>
    <x v="1"/>
    <n v="4"/>
    <x v="0"/>
    <x v="360"/>
    <n v="18168"/>
    <n v="9"/>
    <s v="Y"/>
    <x v="1"/>
    <n v="16"/>
    <n v="3"/>
    <n v="4"/>
    <n v="80"/>
    <n v="0"/>
    <n v="6"/>
    <n v="4"/>
    <n v="3"/>
    <n v="3"/>
    <n v="2"/>
    <x v="1"/>
    <x v="3"/>
  </r>
  <r>
    <x v="10"/>
    <x v="1"/>
    <x v="0"/>
    <n v="755"/>
    <x v="1"/>
    <x v="14"/>
    <n v="4"/>
    <x v="0"/>
    <n v="1"/>
    <n v="496"/>
    <n v="3"/>
    <x v="1"/>
    <x v="28"/>
    <n v="2"/>
    <n v="2"/>
    <x v="4"/>
    <n v="2"/>
    <x v="0"/>
    <x v="361"/>
    <n v="19394"/>
    <n v="9"/>
    <s v="Y"/>
    <x v="1"/>
    <n v="19"/>
    <n v="3"/>
    <n v="3"/>
    <n v="80"/>
    <n v="0"/>
    <n v="10"/>
    <n v="5"/>
    <n v="3"/>
    <n v="1"/>
    <n v="1"/>
    <x v="0"/>
    <x v="2"/>
  </r>
  <r>
    <x v="4"/>
    <x v="1"/>
    <x v="0"/>
    <n v="1469"/>
    <x v="1"/>
    <x v="0"/>
    <n v="2"/>
    <x v="2"/>
    <n v="1"/>
    <n v="497"/>
    <n v="4"/>
    <x v="1"/>
    <x v="19"/>
    <n v="3"/>
    <n v="1"/>
    <x v="2"/>
    <n v="2"/>
    <x v="2"/>
    <x v="362"/>
    <n v="17881"/>
    <n v="1"/>
    <s v="Y"/>
    <x v="1"/>
    <n v="11"/>
    <n v="3"/>
    <n v="2"/>
    <n v="80"/>
    <n v="1"/>
    <n v="5"/>
    <n v="2"/>
    <n v="3"/>
    <n v="5"/>
    <n v="2"/>
    <x v="0"/>
    <x v="10"/>
  </r>
  <r>
    <x v="14"/>
    <x v="1"/>
    <x v="0"/>
    <n v="304"/>
    <x v="0"/>
    <x v="14"/>
    <n v="4"/>
    <x v="0"/>
    <n v="1"/>
    <n v="498"/>
    <n v="2"/>
    <x v="1"/>
    <x v="2"/>
    <n v="3"/>
    <n v="2"/>
    <x v="0"/>
    <n v="4"/>
    <x v="0"/>
    <x v="363"/>
    <n v="20750"/>
    <n v="1"/>
    <s v="Y"/>
    <x v="1"/>
    <n v="16"/>
    <n v="3"/>
    <n v="4"/>
    <n v="80"/>
    <n v="0"/>
    <n v="7"/>
    <n v="1"/>
    <n v="3"/>
    <n v="7"/>
    <n v="5"/>
    <x v="0"/>
    <x v="1"/>
  </r>
  <r>
    <x v="1"/>
    <x v="1"/>
    <x v="0"/>
    <n v="1261"/>
    <x v="1"/>
    <x v="15"/>
    <n v="3"/>
    <x v="1"/>
    <n v="1"/>
    <n v="499"/>
    <n v="2"/>
    <x v="1"/>
    <x v="11"/>
    <n v="2"/>
    <n v="3"/>
    <x v="4"/>
    <n v="3"/>
    <x v="0"/>
    <x v="364"/>
    <n v="12066"/>
    <n v="8"/>
    <s v="Y"/>
    <x v="1"/>
    <n v="24"/>
    <n v="4"/>
    <n v="3"/>
    <n v="80"/>
    <n v="0"/>
    <n v="26"/>
    <n v="2"/>
    <n v="3"/>
    <n v="5"/>
    <n v="2"/>
    <x v="0"/>
    <x v="2"/>
  </r>
  <r>
    <x v="31"/>
    <x v="1"/>
    <x v="0"/>
    <n v="1178"/>
    <x v="0"/>
    <x v="24"/>
    <n v="2"/>
    <x v="0"/>
    <n v="1"/>
    <n v="500"/>
    <n v="3"/>
    <x v="0"/>
    <x v="44"/>
    <n v="3"/>
    <n v="2"/>
    <x v="0"/>
    <n v="4"/>
    <x v="1"/>
    <x v="365"/>
    <n v="14862"/>
    <n v="4"/>
    <s v="Y"/>
    <x v="1"/>
    <n v="11"/>
    <n v="3"/>
    <n v="3"/>
    <n v="80"/>
    <n v="1"/>
    <n v="18"/>
    <n v="2"/>
    <n v="2"/>
    <n v="7"/>
    <n v="7"/>
    <x v="0"/>
    <x v="1"/>
  </r>
  <r>
    <x v="9"/>
    <x v="1"/>
    <x v="0"/>
    <n v="329"/>
    <x v="1"/>
    <x v="2"/>
    <n v="3"/>
    <x v="0"/>
    <n v="1"/>
    <n v="501"/>
    <n v="4"/>
    <x v="0"/>
    <x v="16"/>
    <n v="3"/>
    <n v="1"/>
    <x v="1"/>
    <n v="3"/>
    <x v="1"/>
    <x v="366"/>
    <n v="11868"/>
    <n v="4"/>
    <s v="Y"/>
    <x v="1"/>
    <n v="13"/>
    <n v="3"/>
    <n v="2"/>
    <n v="80"/>
    <n v="1"/>
    <n v="6"/>
    <n v="3"/>
    <n v="3"/>
    <n v="2"/>
    <n v="2"/>
    <x v="3"/>
    <x v="3"/>
  </r>
  <r>
    <x v="13"/>
    <x v="0"/>
    <x v="2"/>
    <n v="1362"/>
    <x v="0"/>
    <x v="10"/>
    <n v="3"/>
    <x v="3"/>
    <n v="1"/>
    <n v="502"/>
    <n v="1"/>
    <x v="1"/>
    <x v="7"/>
    <n v="4"/>
    <n v="2"/>
    <x v="0"/>
    <n v="4"/>
    <x v="0"/>
    <x v="367"/>
    <n v="4652"/>
    <n v="8"/>
    <s v="Y"/>
    <x v="0"/>
    <n v="13"/>
    <n v="3"/>
    <n v="2"/>
    <n v="80"/>
    <n v="0"/>
    <n v="9"/>
    <n v="3"/>
    <n v="2"/>
    <n v="5"/>
    <n v="2"/>
    <x v="0"/>
    <x v="10"/>
  </r>
  <r>
    <x v="27"/>
    <x v="1"/>
    <x v="0"/>
    <n v="1311"/>
    <x v="1"/>
    <x v="2"/>
    <n v="3"/>
    <x v="0"/>
    <n v="1"/>
    <n v="505"/>
    <n v="3"/>
    <x v="0"/>
    <x v="28"/>
    <n v="3"/>
    <n v="4"/>
    <x v="5"/>
    <n v="4"/>
    <x v="0"/>
    <x v="368"/>
    <n v="23258"/>
    <n v="2"/>
    <s v="Y"/>
    <x v="0"/>
    <n v="13"/>
    <n v="3"/>
    <n v="3"/>
    <n v="80"/>
    <n v="0"/>
    <n v="30"/>
    <n v="2"/>
    <n v="3"/>
    <n v="5"/>
    <n v="4"/>
    <x v="1"/>
    <x v="3"/>
  </r>
  <r>
    <x v="17"/>
    <x v="1"/>
    <x v="0"/>
    <n v="1371"/>
    <x v="0"/>
    <x v="17"/>
    <n v="4"/>
    <x v="3"/>
    <n v="1"/>
    <n v="507"/>
    <n v="4"/>
    <x v="0"/>
    <x v="57"/>
    <n v="3"/>
    <n v="2"/>
    <x v="0"/>
    <n v="3"/>
    <x v="2"/>
    <x v="369"/>
    <n v="5915"/>
    <n v="1"/>
    <s v="Y"/>
    <x v="0"/>
    <n v="12"/>
    <n v="3"/>
    <n v="4"/>
    <n v="80"/>
    <n v="1"/>
    <n v="5"/>
    <n v="2"/>
    <n v="4"/>
    <n v="5"/>
    <n v="2"/>
    <x v="0"/>
    <x v="6"/>
  </r>
  <r>
    <x v="7"/>
    <x v="1"/>
    <x v="0"/>
    <n v="202"/>
    <x v="0"/>
    <x v="2"/>
    <n v="1"/>
    <x v="4"/>
    <n v="1"/>
    <n v="508"/>
    <n v="3"/>
    <x v="1"/>
    <x v="23"/>
    <n v="3"/>
    <n v="1"/>
    <x v="6"/>
    <n v="2"/>
    <x v="1"/>
    <x v="370"/>
    <n v="17434"/>
    <n v="1"/>
    <s v="Y"/>
    <x v="1"/>
    <n v="18"/>
    <n v="3"/>
    <n v="1"/>
    <n v="80"/>
    <n v="1"/>
    <n v="1"/>
    <n v="3"/>
    <n v="3"/>
    <n v="1"/>
    <n v="0"/>
    <x v="0"/>
    <x v="2"/>
  </r>
  <r>
    <x v="25"/>
    <x v="0"/>
    <x v="1"/>
    <n v="575"/>
    <x v="1"/>
    <x v="3"/>
    <n v="1"/>
    <x v="4"/>
    <n v="1"/>
    <n v="510"/>
    <n v="3"/>
    <x v="1"/>
    <x v="32"/>
    <n v="3"/>
    <n v="1"/>
    <x v="1"/>
    <n v="1"/>
    <x v="0"/>
    <x v="371"/>
    <n v="6582"/>
    <n v="0"/>
    <s v="Y"/>
    <x v="1"/>
    <n v="22"/>
    <n v="4"/>
    <n v="3"/>
    <n v="80"/>
    <n v="0"/>
    <n v="7"/>
    <n v="2"/>
    <n v="3"/>
    <n v="6"/>
    <n v="4"/>
    <x v="0"/>
    <x v="10"/>
  </r>
  <r>
    <x v="15"/>
    <x v="1"/>
    <x v="0"/>
    <n v="253"/>
    <x v="1"/>
    <x v="13"/>
    <n v="3"/>
    <x v="2"/>
    <n v="1"/>
    <n v="511"/>
    <n v="1"/>
    <x v="0"/>
    <x v="38"/>
    <n v="3"/>
    <n v="1"/>
    <x v="1"/>
    <n v="2"/>
    <x v="1"/>
    <x v="372"/>
    <n v="24440"/>
    <n v="1"/>
    <s v="Y"/>
    <x v="1"/>
    <n v="13"/>
    <n v="3"/>
    <n v="4"/>
    <n v="80"/>
    <n v="1"/>
    <n v="2"/>
    <n v="1"/>
    <n v="3"/>
    <n v="2"/>
    <n v="1"/>
    <x v="1"/>
    <x v="3"/>
  </r>
  <r>
    <x v="9"/>
    <x v="1"/>
    <x v="0"/>
    <n v="164"/>
    <x v="0"/>
    <x v="2"/>
    <n v="2"/>
    <x v="2"/>
    <n v="1"/>
    <n v="513"/>
    <n v="2"/>
    <x v="1"/>
    <x v="1"/>
    <n v="2"/>
    <n v="3"/>
    <x v="0"/>
    <n v="3"/>
    <x v="1"/>
    <x v="373"/>
    <n v="3809"/>
    <n v="1"/>
    <s v="Y"/>
    <x v="1"/>
    <n v="13"/>
    <n v="3"/>
    <n v="2"/>
    <n v="80"/>
    <n v="2"/>
    <n v="10"/>
    <n v="2"/>
    <n v="3"/>
    <n v="10"/>
    <n v="9"/>
    <x v="10"/>
    <x v="2"/>
  </r>
  <r>
    <x v="7"/>
    <x v="0"/>
    <x v="1"/>
    <n v="464"/>
    <x v="1"/>
    <x v="18"/>
    <n v="3"/>
    <x v="4"/>
    <n v="1"/>
    <n v="514"/>
    <n v="3"/>
    <x v="1"/>
    <x v="4"/>
    <n v="3"/>
    <n v="1"/>
    <x v="1"/>
    <n v="4"/>
    <x v="0"/>
    <x v="374"/>
    <n v="3427"/>
    <n v="9"/>
    <s v="Y"/>
    <x v="0"/>
    <n v="23"/>
    <n v="4"/>
    <n v="3"/>
    <n v="80"/>
    <n v="0"/>
    <n v="3"/>
    <n v="4"/>
    <n v="3"/>
    <n v="1"/>
    <n v="0"/>
    <x v="0"/>
    <x v="2"/>
  </r>
  <r>
    <x v="2"/>
    <x v="1"/>
    <x v="0"/>
    <n v="1107"/>
    <x v="1"/>
    <x v="24"/>
    <n v="3"/>
    <x v="0"/>
    <n v="1"/>
    <n v="515"/>
    <n v="4"/>
    <x v="0"/>
    <x v="41"/>
    <n v="3"/>
    <n v="1"/>
    <x v="2"/>
    <n v="1"/>
    <x v="2"/>
    <x v="375"/>
    <n v="26914"/>
    <n v="1"/>
    <s v="Y"/>
    <x v="1"/>
    <n v="12"/>
    <n v="3"/>
    <n v="3"/>
    <n v="80"/>
    <n v="1"/>
    <n v="18"/>
    <n v="2"/>
    <n v="2"/>
    <n v="18"/>
    <n v="7"/>
    <x v="12"/>
    <x v="8"/>
  </r>
  <r>
    <x v="32"/>
    <x v="1"/>
    <x v="0"/>
    <n v="759"/>
    <x v="0"/>
    <x v="2"/>
    <n v="2"/>
    <x v="3"/>
    <n v="1"/>
    <n v="516"/>
    <n v="4"/>
    <x v="0"/>
    <x v="55"/>
    <n v="3"/>
    <n v="2"/>
    <x v="0"/>
    <n v="2"/>
    <x v="2"/>
    <x v="376"/>
    <n v="22553"/>
    <n v="7"/>
    <s v="Y"/>
    <x v="1"/>
    <n v="12"/>
    <n v="3"/>
    <n v="3"/>
    <n v="80"/>
    <n v="2"/>
    <n v="8"/>
    <n v="5"/>
    <n v="3"/>
    <n v="5"/>
    <n v="4"/>
    <x v="1"/>
    <x v="6"/>
  </r>
  <r>
    <x v="19"/>
    <x v="1"/>
    <x v="0"/>
    <n v="201"/>
    <x v="1"/>
    <x v="0"/>
    <n v="4"/>
    <x v="0"/>
    <n v="1"/>
    <n v="517"/>
    <n v="2"/>
    <x v="0"/>
    <x v="41"/>
    <n v="3"/>
    <n v="1"/>
    <x v="2"/>
    <n v="1"/>
    <x v="2"/>
    <x v="377"/>
    <n v="20490"/>
    <n v="3"/>
    <s v="Y"/>
    <x v="1"/>
    <n v="16"/>
    <n v="3"/>
    <n v="2"/>
    <n v="80"/>
    <n v="1"/>
    <n v="8"/>
    <n v="5"/>
    <n v="3"/>
    <n v="5"/>
    <n v="2"/>
    <x v="1"/>
    <x v="3"/>
  </r>
  <r>
    <x v="2"/>
    <x v="1"/>
    <x v="0"/>
    <n v="1305"/>
    <x v="1"/>
    <x v="17"/>
    <n v="4"/>
    <x v="0"/>
    <n v="1"/>
    <n v="518"/>
    <n v="3"/>
    <x v="1"/>
    <x v="10"/>
    <n v="3"/>
    <n v="2"/>
    <x v="3"/>
    <n v="2"/>
    <x v="0"/>
    <x v="378"/>
    <n v="21123"/>
    <n v="2"/>
    <s v="Y"/>
    <x v="0"/>
    <n v="12"/>
    <n v="3"/>
    <n v="4"/>
    <n v="80"/>
    <n v="0"/>
    <n v="18"/>
    <n v="2"/>
    <n v="2"/>
    <n v="1"/>
    <n v="0"/>
    <x v="0"/>
    <x v="9"/>
  </r>
  <r>
    <x v="23"/>
    <x v="1"/>
    <x v="0"/>
    <n v="982"/>
    <x v="1"/>
    <x v="20"/>
    <n v="3"/>
    <x v="0"/>
    <n v="1"/>
    <n v="520"/>
    <n v="1"/>
    <x v="1"/>
    <x v="40"/>
    <n v="2"/>
    <n v="4"/>
    <x v="7"/>
    <n v="2"/>
    <x v="2"/>
    <x v="379"/>
    <n v="4345"/>
    <n v="1"/>
    <s v="Y"/>
    <x v="1"/>
    <n v="11"/>
    <n v="3"/>
    <n v="3"/>
    <n v="80"/>
    <n v="1"/>
    <n v="25"/>
    <n v="3"/>
    <n v="3"/>
    <n v="25"/>
    <n v="10"/>
    <x v="2"/>
    <x v="12"/>
  </r>
  <r>
    <x v="32"/>
    <x v="1"/>
    <x v="0"/>
    <n v="555"/>
    <x v="1"/>
    <x v="2"/>
    <n v="3"/>
    <x v="2"/>
    <n v="1"/>
    <n v="521"/>
    <n v="2"/>
    <x v="0"/>
    <x v="17"/>
    <n v="2"/>
    <n v="2"/>
    <x v="2"/>
    <n v="3"/>
    <x v="1"/>
    <x v="380"/>
    <n v="13436"/>
    <n v="6"/>
    <s v="Y"/>
    <x v="1"/>
    <n v="22"/>
    <n v="4"/>
    <n v="2"/>
    <n v="80"/>
    <n v="1"/>
    <n v="20"/>
    <n v="3"/>
    <n v="3"/>
    <n v="1"/>
    <n v="0"/>
    <x v="0"/>
    <x v="2"/>
  </r>
  <r>
    <x v="33"/>
    <x v="1"/>
    <x v="0"/>
    <n v="821"/>
    <x v="1"/>
    <x v="12"/>
    <n v="2"/>
    <x v="2"/>
    <n v="1"/>
    <n v="522"/>
    <n v="1"/>
    <x v="1"/>
    <x v="27"/>
    <n v="3"/>
    <n v="5"/>
    <x v="7"/>
    <n v="1"/>
    <x v="1"/>
    <x v="381"/>
    <n v="8509"/>
    <n v="4"/>
    <s v="Y"/>
    <x v="1"/>
    <n v="11"/>
    <n v="3"/>
    <n v="3"/>
    <n v="80"/>
    <n v="1"/>
    <n v="24"/>
    <n v="4"/>
    <n v="2"/>
    <n v="4"/>
    <n v="2"/>
    <x v="1"/>
    <x v="3"/>
  </r>
  <r>
    <x v="13"/>
    <x v="1"/>
    <x v="2"/>
    <n v="1381"/>
    <x v="0"/>
    <x v="18"/>
    <n v="4"/>
    <x v="3"/>
    <n v="1"/>
    <n v="523"/>
    <n v="3"/>
    <x v="0"/>
    <x v="23"/>
    <n v="3"/>
    <n v="2"/>
    <x v="0"/>
    <n v="3"/>
    <x v="1"/>
    <x v="382"/>
    <n v="12740"/>
    <n v="9"/>
    <s v="Y"/>
    <x v="1"/>
    <n v="15"/>
    <n v="3"/>
    <n v="1"/>
    <n v="80"/>
    <n v="1"/>
    <n v="6"/>
    <n v="3"/>
    <n v="3"/>
    <n v="3"/>
    <n v="2"/>
    <x v="1"/>
    <x v="3"/>
  </r>
  <r>
    <x v="12"/>
    <x v="1"/>
    <x v="0"/>
    <n v="480"/>
    <x v="1"/>
    <x v="15"/>
    <n v="2"/>
    <x v="2"/>
    <n v="1"/>
    <n v="524"/>
    <n v="2"/>
    <x v="0"/>
    <x v="11"/>
    <n v="3"/>
    <n v="2"/>
    <x v="3"/>
    <n v="1"/>
    <x v="1"/>
    <x v="383"/>
    <n v="4156"/>
    <n v="1"/>
    <s v="Y"/>
    <x v="1"/>
    <n v="12"/>
    <n v="3"/>
    <n v="2"/>
    <n v="80"/>
    <n v="1"/>
    <n v="13"/>
    <n v="5"/>
    <n v="1"/>
    <n v="13"/>
    <n v="10"/>
    <x v="2"/>
    <x v="11"/>
  </r>
  <r>
    <x v="23"/>
    <x v="1"/>
    <x v="1"/>
    <n v="313"/>
    <x v="1"/>
    <x v="11"/>
    <n v="3"/>
    <x v="2"/>
    <n v="1"/>
    <n v="525"/>
    <n v="4"/>
    <x v="1"/>
    <x v="1"/>
    <n v="3"/>
    <n v="1"/>
    <x v="2"/>
    <n v="4"/>
    <x v="1"/>
    <x v="384"/>
    <n v="15238"/>
    <n v="7"/>
    <s v="Y"/>
    <x v="1"/>
    <n v="20"/>
    <n v="4"/>
    <n v="1"/>
    <n v="80"/>
    <n v="1"/>
    <n v="8"/>
    <n v="1"/>
    <n v="3"/>
    <n v="3"/>
    <n v="2"/>
    <x v="1"/>
    <x v="3"/>
  </r>
  <r>
    <x v="23"/>
    <x v="1"/>
    <x v="0"/>
    <n v="1473"/>
    <x v="1"/>
    <x v="1"/>
    <n v="4"/>
    <x v="1"/>
    <n v="1"/>
    <n v="526"/>
    <n v="3"/>
    <x v="0"/>
    <x v="69"/>
    <n v="3"/>
    <n v="2"/>
    <x v="4"/>
    <n v="3"/>
    <x v="2"/>
    <x v="385"/>
    <n v="2227"/>
    <n v="4"/>
    <s v="Y"/>
    <x v="0"/>
    <n v="14"/>
    <n v="3"/>
    <n v="4"/>
    <n v="80"/>
    <n v="0"/>
    <n v="8"/>
    <n v="3"/>
    <n v="3"/>
    <n v="5"/>
    <n v="2"/>
    <x v="0"/>
    <x v="3"/>
  </r>
  <r>
    <x v="36"/>
    <x v="1"/>
    <x v="0"/>
    <n v="891"/>
    <x v="0"/>
    <x v="18"/>
    <n v="2"/>
    <x v="0"/>
    <n v="1"/>
    <n v="527"/>
    <n v="2"/>
    <x v="0"/>
    <x v="39"/>
    <n v="2"/>
    <n v="2"/>
    <x v="0"/>
    <n v="4"/>
    <x v="0"/>
    <x v="386"/>
    <n v="12090"/>
    <n v="1"/>
    <s v="Y"/>
    <x v="0"/>
    <n v="11"/>
    <n v="3"/>
    <n v="2"/>
    <n v="80"/>
    <n v="0"/>
    <n v="5"/>
    <n v="3"/>
    <n v="3"/>
    <n v="5"/>
    <n v="4"/>
    <x v="1"/>
    <x v="6"/>
  </r>
  <r>
    <x v="2"/>
    <x v="1"/>
    <x v="2"/>
    <n v="1063"/>
    <x v="1"/>
    <x v="19"/>
    <n v="5"/>
    <x v="2"/>
    <n v="1"/>
    <n v="529"/>
    <n v="2"/>
    <x v="0"/>
    <x v="23"/>
    <n v="3"/>
    <n v="2"/>
    <x v="1"/>
    <n v="3"/>
    <x v="1"/>
    <x v="387"/>
    <n v="23866"/>
    <n v="3"/>
    <s v="Y"/>
    <x v="0"/>
    <n v="15"/>
    <n v="3"/>
    <n v="1"/>
    <n v="80"/>
    <n v="2"/>
    <n v="15"/>
    <n v="2"/>
    <n v="3"/>
    <n v="13"/>
    <n v="11"/>
    <x v="13"/>
    <x v="1"/>
  </r>
  <r>
    <x v="12"/>
    <x v="1"/>
    <x v="0"/>
    <n v="329"/>
    <x v="1"/>
    <x v="0"/>
    <n v="2"/>
    <x v="0"/>
    <n v="1"/>
    <n v="530"/>
    <n v="4"/>
    <x v="1"/>
    <x v="33"/>
    <n v="2"/>
    <n v="1"/>
    <x v="2"/>
    <n v="1"/>
    <x v="1"/>
    <x v="388"/>
    <n v="16193"/>
    <n v="1"/>
    <s v="Y"/>
    <x v="1"/>
    <n v="12"/>
    <n v="3"/>
    <n v="3"/>
    <n v="80"/>
    <n v="1"/>
    <n v="4"/>
    <n v="3"/>
    <n v="3"/>
    <n v="4"/>
    <n v="2"/>
    <x v="2"/>
    <x v="3"/>
  </r>
  <r>
    <x v="22"/>
    <x v="1"/>
    <x v="1"/>
    <n v="1218"/>
    <x v="1"/>
    <x v="0"/>
    <n v="1"/>
    <x v="0"/>
    <n v="1"/>
    <n v="531"/>
    <n v="2"/>
    <x v="1"/>
    <x v="48"/>
    <n v="3"/>
    <n v="5"/>
    <x v="5"/>
    <n v="3"/>
    <x v="2"/>
    <x v="389"/>
    <n v="8213"/>
    <n v="1"/>
    <s v="Y"/>
    <x v="0"/>
    <n v="14"/>
    <n v="3"/>
    <n v="3"/>
    <n v="80"/>
    <n v="1"/>
    <n v="21"/>
    <n v="3"/>
    <n v="3"/>
    <n v="21"/>
    <n v="8"/>
    <x v="1"/>
    <x v="4"/>
  </r>
  <r>
    <x v="29"/>
    <x v="1"/>
    <x v="1"/>
    <n v="906"/>
    <x v="0"/>
    <x v="16"/>
    <n v="3"/>
    <x v="0"/>
    <n v="1"/>
    <n v="532"/>
    <n v="3"/>
    <x v="0"/>
    <x v="27"/>
    <n v="4"/>
    <n v="4"/>
    <x v="0"/>
    <n v="1"/>
    <x v="1"/>
    <x v="390"/>
    <n v="18256"/>
    <n v="9"/>
    <s v="Y"/>
    <x v="1"/>
    <n v="11"/>
    <n v="3"/>
    <n v="4"/>
    <n v="80"/>
    <n v="3"/>
    <n v="36"/>
    <n v="0"/>
    <n v="2"/>
    <n v="7"/>
    <n v="7"/>
    <x v="4"/>
    <x v="1"/>
  </r>
  <r>
    <x v="7"/>
    <x v="1"/>
    <x v="0"/>
    <n v="1082"/>
    <x v="0"/>
    <x v="20"/>
    <n v="3"/>
    <x v="4"/>
    <n v="1"/>
    <n v="533"/>
    <n v="2"/>
    <x v="0"/>
    <x v="21"/>
    <n v="3"/>
    <n v="2"/>
    <x v="0"/>
    <n v="3"/>
    <x v="0"/>
    <x v="391"/>
    <n v="19558"/>
    <n v="0"/>
    <s v="Y"/>
    <x v="1"/>
    <n v="11"/>
    <n v="3"/>
    <n v="2"/>
    <n v="80"/>
    <n v="0"/>
    <n v="6"/>
    <n v="6"/>
    <n v="3"/>
    <n v="5"/>
    <n v="4"/>
    <x v="5"/>
    <x v="10"/>
  </r>
  <r>
    <x v="0"/>
    <x v="1"/>
    <x v="0"/>
    <n v="645"/>
    <x v="0"/>
    <x v="0"/>
    <n v="3"/>
    <x v="3"/>
    <n v="1"/>
    <n v="534"/>
    <n v="2"/>
    <x v="1"/>
    <x v="10"/>
    <n v="4"/>
    <n v="3"/>
    <x v="0"/>
    <n v="1"/>
    <x v="1"/>
    <x v="392"/>
    <n v="19566"/>
    <n v="1"/>
    <s v="Y"/>
    <x v="1"/>
    <n v="16"/>
    <n v="3"/>
    <n v="3"/>
    <n v="80"/>
    <n v="1"/>
    <n v="10"/>
    <n v="2"/>
    <n v="3"/>
    <n v="10"/>
    <n v="7"/>
    <x v="0"/>
    <x v="1"/>
  </r>
  <r>
    <x v="14"/>
    <x v="1"/>
    <x v="0"/>
    <n v="1300"/>
    <x v="1"/>
    <x v="27"/>
    <n v="2"/>
    <x v="2"/>
    <n v="1"/>
    <n v="536"/>
    <n v="3"/>
    <x v="1"/>
    <x v="5"/>
    <n v="3"/>
    <n v="2"/>
    <x v="2"/>
    <n v="1"/>
    <x v="2"/>
    <x v="393"/>
    <n v="13535"/>
    <n v="1"/>
    <s v="Y"/>
    <x v="1"/>
    <n v="12"/>
    <n v="3"/>
    <n v="4"/>
    <n v="80"/>
    <n v="1"/>
    <n v="10"/>
    <n v="2"/>
    <n v="3"/>
    <n v="10"/>
    <n v="0"/>
    <x v="1"/>
    <x v="5"/>
  </r>
  <r>
    <x v="36"/>
    <x v="0"/>
    <x v="0"/>
    <n v="688"/>
    <x v="1"/>
    <x v="3"/>
    <n v="3"/>
    <x v="2"/>
    <n v="1"/>
    <n v="538"/>
    <n v="1"/>
    <x v="1"/>
    <x v="59"/>
    <n v="3"/>
    <n v="1"/>
    <x v="2"/>
    <n v="1"/>
    <x v="1"/>
    <x v="394"/>
    <n v="9396"/>
    <n v="5"/>
    <s v="Y"/>
    <x v="1"/>
    <n v="13"/>
    <n v="3"/>
    <n v="3"/>
    <n v="80"/>
    <n v="1"/>
    <n v="6"/>
    <n v="5"/>
    <n v="3"/>
    <n v="2"/>
    <n v="2"/>
    <x v="0"/>
    <x v="3"/>
  </r>
  <r>
    <x v="39"/>
    <x v="1"/>
    <x v="0"/>
    <n v="319"/>
    <x v="1"/>
    <x v="3"/>
    <n v="3"/>
    <x v="2"/>
    <n v="1"/>
    <n v="543"/>
    <n v="4"/>
    <x v="1"/>
    <x v="56"/>
    <n v="2"/>
    <n v="3"/>
    <x v="3"/>
    <n v="3"/>
    <x v="1"/>
    <x v="395"/>
    <n v="19609"/>
    <n v="2"/>
    <s v="Y"/>
    <x v="0"/>
    <n v="14"/>
    <n v="3"/>
    <n v="3"/>
    <n v="80"/>
    <n v="0"/>
    <n v="28"/>
    <n v="4"/>
    <n v="3"/>
    <n v="5"/>
    <n v="4"/>
    <x v="0"/>
    <x v="10"/>
  </r>
  <r>
    <x v="28"/>
    <x v="1"/>
    <x v="0"/>
    <n v="192"/>
    <x v="1"/>
    <x v="17"/>
    <n v="2"/>
    <x v="0"/>
    <n v="1"/>
    <n v="544"/>
    <n v="1"/>
    <x v="1"/>
    <x v="68"/>
    <n v="3"/>
    <n v="1"/>
    <x v="1"/>
    <n v="4"/>
    <x v="1"/>
    <x v="396"/>
    <n v="9655"/>
    <n v="3"/>
    <s v="Y"/>
    <x v="1"/>
    <n v="21"/>
    <n v="4"/>
    <n v="4"/>
    <n v="80"/>
    <n v="2"/>
    <n v="8"/>
    <n v="3"/>
    <n v="2"/>
    <n v="2"/>
    <n v="2"/>
    <x v="0"/>
    <x v="3"/>
  </r>
  <r>
    <x v="39"/>
    <x v="1"/>
    <x v="0"/>
    <n v="1490"/>
    <x v="1"/>
    <x v="18"/>
    <n v="2"/>
    <x v="0"/>
    <n v="1"/>
    <n v="546"/>
    <n v="4"/>
    <x v="0"/>
    <x v="37"/>
    <n v="3"/>
    <n v="4"/>
    <x v="5"/>
    <n v="4"/>
    <x v="1"/>
    <x v="397"/>
    <n v="10310"/>
    <n v="2"/>
    <s v="Y"/>
    <x v="1"/>
    <n v="13"/>
    <n v="3"/>
    <n v="4"/>
    <n v="80"/>
    <n v="0"/>
    <n v="31"/>
    <n v="2"/>
    <n v="1"/>
    <n v="5"/>
    <n v="2"/>
    <x v="1"/>
    <x v="10"/>
  </r>
  <r>
    <x v="19"/>
    <x v="1"/>
    <x v="1"/>
    <n v="532"/>
    <x v="1"/>
    <x v="22"/>
    <n v="2"/>
    <x v="0"/>
    <n v="1"/>
    <n v="547"/>
    <n v="1"/>
    <x v="0"/>
    <x v="2"/>
    <n v="3"/>
    <n v="2"/>
    <x v="1"/>
    <n v="3"/>
    <x v="2"/>
    <x v="398"/>
    <n v="12932"/>
    <n v="2"/>
    <s v="Y"/>
    <x v="1"/>
    <n v="11"/>
    <n v="3"/>
    <n v="2"/>
    <n v="80"/>
    <n v="1"/>
    <n v="19"/>
    <n v="3"/>
    <n v="3"/>
    <n v="5"/>
    <n v="4"/>
    <x v="0"/>
    <x v="3"/>
  </r>
  <r>
    <x v="7"/>
    <x v="1"/>
    <x v="0"/>
    <n v="317"/>
    <x v="1"/>
    <x v="2"/>
    <n v="3"/>
    <x v="0"/>
    <n v="1"/>
    <n v="548"/>
    <n v="3"/>
    <x v="0"/>
    <x v="38"/>
    <n v="1"/>
    <n v="2"/>
    <x v="3"/>
    <n v="4"/>
    <x v="0"/>
    <x v="399"/>
    <n v="24793"/>
    <n v="2"/>
    <s v="Y"/>
    <x v="1"/>
    <n v="20"/>
    <n v="4"/>
    <n v="3"/>
    <n v="80"/>
    <n v="0"/>
    <n v="11"/>
    <n v="2"/>
    <n v="3"/>
    <n v="5"/>
    <n v="4"/>
    <x v="0"/>
    <x v="3"/>
  </r>
  <r>
    <x v="42"/>
    <x v="1"/>
    <x v="0"/>
    <n v="422"/>
    <x v="1"/>
    <x v="15"/>
    <n v="3"/>
    <x v="0"/>
    <n v="1"/>
    <n v="549"/>
    <n v="1"/>
    <x v="0"/>
    <x v="26"/>
    <n v="3"/>
    <n v="5"/>
    <x v="5"/>
    <n v="1"/>
    <x v="1"/>
    <x v="400"/>
    <n v="3854"/>
    <n v="5"/>
    <s v="Y"/>
    <x v="1"/>
    <n v="11"/>
    <n v="3"/>
    <n v="4"/>
    <n v="80"/>
    <n v="0"/>
    <n v="33"/>
    <n v="5"/>
    <n v="1"/>
    <n v="29"/>
    <n v="8"/>
    <x v="14"/>
    <x v="13"/>
  </r>
  <r>
    <x v="21"/>
    <x v="1"/>
    <x v="0"/>
    <n v="1485"/>
    <x v="1"/>
    <x v="21"/>
    <n v="3"/>
    <x v="2"/>
    <n v="1"/>
    <n v="550"/>
    <n v="3"/>
    <x v="0"/>
    <x v="44"/>
    <n v="3"/>
    <n v="2"/>
    <x v="3"/>
    <n v="3"/>
    <x v="2"/>
    <x v="401"/>
    <n v="26314"/>
    <n v="2"/>
    <s v="Y"/>
    <x v="1"/>
    <n v="14"/>
    <n v="3"/>
    <n v="3"/>
    <n v="80"/>
    <n v="1"/>
    <n v="19"/>
    <n v="5"/>
    <n v="2"/>
    <n v="10"/>
    <n v="7"/>
    <x v="0"/>
    <x v="5"/>
  </r>
  <r>
    <x v="19"/>
    <x v="1"/>
    <x v="1"/>
    <n v="1368"/>
    <x v="1"/>
    <x v="26"/>
    <n v="4"/>
    <x v="4"/>
    <n v="1"/>
    <n v="551"/>
    <n v="4"/>
    <x v="0"/>
    <x v="64"/>
    <n v="2"/>
    <n v="2"/>
    <x v="4"/>
    <n v="4"/>
    <x v="1"/>
    <x v="402"/>
    <n v="4386"/>
    <n v="0"/>
    <s v="Y"/>
    <x v="1"/>
    <n v="11"/>
    <n v="3"/>
    <n v="4"/>
    <n v="80"/>
    <n v="3"/>
    <n v="7"/>
    <n v="4"/>
    <n v="4"/>
    <n v="6"/>
    <n v="5"/>
    <x v="0"/>
    <x v="10"/>
  </r>
  <r>
    <x v="17"/>
    <x v="0"/>
    <x v="0"/>
    <n v="1448"/>
    <x v="0"/>
    <x v="0"/>
    <n v="1"/>
    <x v="4"/>
    <n v="1"/>
    <n v="554"/>
    <n v="1"/>
    <x v="0"/>
    <x v="50"/>
    <n v="3"/>
    <n v="1"/>
    <x v="6"/>
    <n v="2"/>
    <x v="0"/>
    <x v="403"/>
    <n v="21972"/>
    <n v="1"/>
    <s v="Y"/>
    <x v="0"/>
    <n v="16"/>
    <n v="3"/>
    <n v="2"/>
    <n v="80"/>
    <n v="0"/>
    <n v="6"/>
    <n v="4"/>
    <n v="3"/>
    <n v="5"/>
    <n v="3"/>
    <x v="1"/>
    <x v="10"/>
  </r>
  <r>
    <x v="13"/>
    <x v="0"/>
    <x v="1"/>
    <n v="296"/>
    <x v="0"/>
    <x v="16"/>
    <n v="2"/>
    <x v="3"/>
    <n v="1"/>
    <n v="555"/>
    <n v="4"/>
    <x v="0"/>
    <x v="30"/>
    <n v="1"/>
    <n v="1"/>
    <x v="6"/>
    <n v="3"/>
    <x v="2"/>
    <x v="404"/>
    <n v="12253"/>
    <n v="0"/>
    <s v="Y"/>
    <x v="1"/>
    <n v="16"/>
    <n v="3"/>
    <n v="4"/>
    <n v="80"/>
    <n v="1"/>
    <n v="3"/>
    <n v="3"/>
    <n v="2"/>
    <n v="2"/>
    <n v="2"/>
    <x v="1"/>
    <x v="2"/>
  </r>
  <r>
    <x v="8"/>
    <x v="1"/>
    <x v="1"/>
    <n v="1490"/>
    <x v="1"/>
    <x v="2"/>
    <n v="2"/>
    <x v="0"/>
    <n v="1"/>
    <n v="556"/>
    <n v="4"/>
    <x v="1"/>
    <x v="25"/>
    <n v="3"/>
    <n v="1"/>
    <x v="2"/>
    <n v="4"/>
    <x v="1"/>
    <x v="405"/>
    <n v="12106"/>
    <n v="1"/>
    <s v="Y"/>
    <x v="0"/>
    <n v="23"/>
    <n v="4"/>
    <n v="3"/>
    <n v="80"/>
    <n v="1"/>
    <n v="1"/>
    <n v="3"/>
    <n v="3"/>
    <n v="1"/>
    <n v="0"/>
    <x v="0"/>
    <x v="2"/>
  </r>
  <r>
    <x v="32"/>
    <x v="1"/>
    <x v="0"/>
    <n v="1398"/>
    <x v="0"/>
    <x v="2"/>
    <n v="4"/>
    <x v="0"/>
    <n v="1"/>
    <n v="558"/>
    <n v="3"/>
    <x v="0"/>
    <x v="5"/>
    <n v="3"/>
    <n v="5"/>
    <x v="5"/>
    <n v="3"/>
    <x v="1"/>
    <x v="406"/>
    <n v="13022"/>
    <n v="0"/>
    <s v="Y"/>
    <x v="1"/>
    <n v="14"/>
    <n v="3"/>
    <n v="4"/>
    <n v="80"/>
    <n v="0"/>
    <n v="21"/>
    <n v="2"/>
    <n v="3"/>
    <n v="20"/>
    <n v="15"/>
    <x v="1"/>
    <x v="11"/>
  </r>
  <r>
    <x v="25"/>
    <x v="1"/>
    <x v="0"/>
    <n v="1349"/>
    <x v="1"/>
    <x v="5"/>
    <n v="3"/>
    <x v="0"/>
    <n v="1"/>
    <n v="560"/>
    <n v="1"/>
    <x v="0"/>
    <x v="62"/>
    <n v="3"/>
    <n v="1"/>
    <x v="1"/>
    <n v="4"/>
    <x v="2"/>
    <x v="407"/>
    <n v="3032"/>
    <n v="1"/>
    <s v="Y"/>
    <x v="1"/>
    <n v="22"/>
    <n v="4"/>
    <n v="2"/>
    <n v="80"/>
    <n v="2"/>
    <n v="3"/>
    <n v="3"/>
    <n v="1"/>
    <n v="3"/>
    <n v="2"/>
    <x v="0"/>
    <x v="3"/>
  </r>
  <r>
    <x v="7"/>
    <x v="1"/>
    <x v="2"/>
    <n v="1400"/>
    <x v="1"/>
    <x v="3"/>
    <n v="3"/>
    <x v="0"/>
    <n v="1"/>
    <n v="562"/>
    <n v="3"/>
    <x v="1"/>
    <x v="20"/>
    <n v="3"/>
    <n v="1"/>
    <x v="2"/>
    <n v="4"/>
    <x v="1"/>
    <x v="408"/>
    <n v="16734"/>
    <n v="4"/>
    <s v="Y"/>
    <x v="1"/>
    <n v="15"/>
    <n v="3"/>
    <n v="3"/>
    <n v="80"/>
    <n v="1"/>
    <n v="9"/>
    <n v="3"/>
    <n v="1"/>
    <n v="5"/>
    <n v="3"/>
    <x v="1"/>
    <x v="10"/>
  </r>
  <r>
    <x v="11"/>
    <x v="1"/>
    <x v="0"/>
    <n v="986"/>
    <x v="1"/>
    <x v="3"/>
    <n v="4"/>
    <x v="2"/>
    <n v="1"/>
    <n v="564"/>
    <n v="2"/>
    <x v="1"/>
    <x v="12"/>
    <n v="2"/>
    <n v="3"/>
    <x v="7"/>
    <n v="3"/>
    <x v="1"/>
    <x v="409"/>
    <n v="21526"/>
    <n v="1"/>
    <s v="Y"/>
    <x v="1"/>
    <n v="18"/>
    <n v="3"/>
    <n v="3"/>
    <n v="80"/>
    <n v="0"/>
    <n v="10"/>
    <n v="2"/>
    <n v="3"/>
    <n v="10"/>
    <n v="2"/>
    <x v="0"/>
    <x v="1"/>
  </r>
  <r>
    <x v="11"/>
    <x v="0"/>
    <x v="0"/>
    <n v="408"/>
    <x v="1"/>
    <x v="19"/>
    <n v="5"/>
    <x v="4"/>
    <n v="1"/>
    <n v="565"/>
    <n v="3"/>
    <x v="0"/>
    <x v="36"/>
    <n v="2"/>
    <n v="1"/>
    <x v="1"/>
    <n v="2"/>
    <x v="1"/>
    <x v="410"/>
    <n v="18300"/>
    <n v="5"/>
    <s v="Y"/>
    <x v="1"/>
    <n v="16"/>
    <n v="3"/>
    <n v="2"/>
    <n v="80"/>
    <n v="0"/>
    <n v="6"/>
    <n v="2"/>
    <n v="4"/>
    <n v="2"/>
    <n v="2"/>
    <x v="1"/>
    <x v="9"/>
  </r>
  <r>
    <x v="37"/>
    <x v="0"/>
    <x v="0"/>
    <n v="489"/>
    <x v="2"/>
    <x v="2"/>
    <n v="2"/>
    <x v="4"/>
    <n v="1"/>
    <n v="566"/>
    <n v="1"/>
    <x v="1"/>
    <x v="48"/>
    <n v="2"/>
    <n v="1"/>
    <x v="8"/>
    <n v="4"/>
    <x v="0"/>
    <x v="411"/>
    <n v="18437"/>
    <n v="1"/>
    <s v="Y"/>
    <x v="1"/>
    <n v="12"/>
    <n v="3"/>
    <n v="3"/>
    <n v="80"/>
    <n v="0"/>
    <n v="1"/>
    <n v="3"/>
    <n v="4"/>
    <n v="1"/>
    <n v="0"/>
    <x v="0"/>
    <x v="2"/>
  </r>
  <r>
    <x v="7"/>
    <x v="1"/>
    <x v="2"/>
    <n v="1398"/>
    <x v="0"/>
    <x v="23"/>
    <n v="4"/>
    <x v="1"/>
    <n v="1"/>
    <n v="567"/>
    <n v="3"/>
    <x v="0"/>
    <x v="68"/>
    <n v="3"/>
    <n v="3"/>
    <x v="0"/>
    <n v="1"/>
    <x v="1"/>
    <x v="412"/>
    <n v="2890"/>
    <n v="0"/>
    <s v="Y"/>
    <x v="1"/>
    <n v="11"/>
    <n v="3"/>
    <n v="3"/>
    <n v="80"/>
    <n v="0"/>
    <n v="10"/>
    <n v="3"/>
    <n v="3"/>
    <n v="9"/>
    <n v="8"/>
    <x v="4"/>
    <x v="5"/>
  </r>
  <r>
    <x v="38"/>
    <x v="1"/>
    <x v="0"/>
    <n v="210"/>
    <x v="0"/>
    <x v="22"/>
    <n v="3"/>
    <x v="3"/>
    <n v="1"/>
    <n v="568"/>
    <n v="1"/>
    <x v="1"/>
    <x v="3"/>
    <n v="2"/>
    <n v="4"/>
    <x v="5"/>
    <n v="4"/>
    <x v="2"/>
    <x v="413"/>
    <n v="22102"/>
    <n v="3"/>
    <s v="Y"/>
    <x v="1"/>
    <n v="12"/>
    <n v="3"/>
    <n v="3"/>
    <n v="80"/>
    <n v="1"/>
    <n v="32"/>
    <n v="3"/>
    <n v="2"/>
    <n v="1"/>
    <n v="0"/>
    <x v="0"/>
    <x v="2"/>
  </r>
  <r>
    <x v="24"/>
    <x v="1"/>
    <x v="0"/>
    <n v="1099"/>
    <x v="1"/>
    <x v="22"/>
    <n v="4"/>
    <x v="0"/>
    <n v="1"/>
    <n v="569"/>
    <n v="2"/>
    <x v="1"/>
    <x v="64"/>
    <n v="2"/>
    <n v="4"/>
    <x v="5"/>
    <n v="3"/>
    <x v="1"/>
    <x v="414"/>
    <n v="9314"/>
    <n v="0"/>
    <s v="Y"/>
    <x v="1"/>
    <n v="15"/>
    <n v="3"/>
    <n v="2"/>
    <n v="80"/>
    <n v="1"/>
    <n v="28"/>
    <n v="2"/>
    <n v="3"/>
    <n v="27"/>
    <n v="10"/>
    <x v="9"/>
    <x v="1"/>
  </r>
  <r>
    <x v="7"/>
    <x v="1"/>
    <x v="2"/>
    <n v="1116"/>
    <x v="1"/>
    <x v="2"/>
    <n v="3"/>
    <x v="2"/>
    <n v="1"/>
    <n v="571"/>
    <n v="3"/>
    <x v="0"/>
    <x v="10"/>
    <n v="3"/>
    <n v="1"/>
    <x v="2"/>
    <n v="4"/>
    <x v="0"/>
    <x v="411"/>
    <n v="7181"/>
    <n v="0"/>
    <s v="Y"/>
    <x v="1"/>
    <n v="14"/>
    <n v="3"/>
    <n v="3"/>
    <n v="80"/>
    <n v="0"/>
    <n v="12"/>
    <n v="2"/>
    <n v="2"/>
    <n v="11"/>
    <n v="7"/>
    <x v="7"/>
    <x v="1"/>
  </r>
  <r>
    <x v="42"/>
    <x v="1"/>
    <x v="1"/>
    <n v="1499"/>
    <x v="0"/>
    <x v="26"/>
    <n v="3"/>
    <x v="3"/>
    <n v="1"/>
    <n v="573"/>
    <n v="3"/>
    <x v="0"/>
    <x v="15"/>
    <n v="2"/>
    <n v="3"/>
    <x v="0"/>
    <n v="1"/>
    <x v="1"/>
    <x v="415"/>
    <n v="2845"/>
    <n v="4"/>
    <s v="Y"/>
    <x v="1"/>
    <n v="19"/>
    <n v="3"/>
    <n v="4"/>
    <n v="80"/>
    <n v="0"/>
    <n v="22"/>
    <n v="5"/>
    <n v="4"/>
    <n v="18"/>
    <n v="13"/>
    <x v="11"/>
    <x v="7"/>
  </r>
  <r>
    <x v="40"/>
    <x v="1"/>
    <x v="0"/>
    <n v="983"/>
    <x v="1"/>
    <x v="2"/>
    <n v="2"/>
    <x v="2"/>
    <n v="1"/>
    <n v="574"/>
    <n v="1"/>
    <x v="0"/>
    <x v="63"/>
    <n v="3"/>
    <n v="2"/>
    <x v="3"/>
    <n v="4"/>
    <x v="2"/>
    <x v="416"/>
    <n v="7389"/>
    <n v="5"/>
    <s v="Y"/>
    <x v="1"/>
    <n v="13"/>
    <n v="3"/>
    <n v="3"/>
    <n v="80"/>
    <n v="3"/>
    <n v="20"/>
    <n v="2"/>
    <n v="3"/>
    <n v="5"/>
    <n v="0"/>
    <x v="0"/>
    <x v="10"/>
  </r>
  <r>
    <x v="21"/>
    <x v="1"/>
    <x v="0"/>
    <n v="1009"/>
    <x v="1"/>
    <x v="2"/>
    <n v="3"/>
    <x v="0"/>
    <n v="1"/>
    <n v="575"/>
    <n v="1"/>
    <x v="1"/>
    <x v="14"/>
    <n v="3"/>
    <n v="4"/>
    <x v="7"/>
    <n v="3"/>
    <x v="1"/>
    <x v="417"/>
    <n v="2288"/>
    <n v="6"/>
    <s v="Y"/>
    <x v="1"/>
    <n v="13"/>
    <n v="3"/>
    <n v="3"/>
    <n v="80"/>
    <n v="0"/>
    <n v="26"/>
    <n v="2"/>
    <n v="1"/>
    <n v="3"/>
    <n v="2"/>
    <x v="0"/>
    <x v="9"/>
  </r>
  <r>
    <x v="10"/>
    <x v="1"/>
    <x v="0"/>
    <n v="144"/>
    <x v="1"/>
    <x v="23"/>
    <n v="3"/>
    <x v="0"/>
    <n v="1"/>
    <n v="577"/>
    <n v="4"/>
    <x v="1"/>
    <x v="55"/>
    <n v="1"/>
    <n v="1"/>
    <x v="2"/>
    <n v="3"/>
    <x v="0"/>
    <x v="418"/>
    <n v="19225"/>
    <n v="0"/>
    <s v="Y"/>
    <x v="1"/>
    <n v="15"/>
    <n v="3"/>
    <n v="3"/>
    <n v="80"/>
    <n v="0"/>
    <n v="6"/>
    <n v="2"/>
    <n v="3"/>
    <n v="5"/>
    <n v="4"/>
    <x v="5"/>
    <x v="6"/>
  </r>
  <r>
    <x v="33"/>
    <x v="1"/>
    <x v="0"/>
    <n v="548"/>
    <x v="1"/>
    <x v="1"/>
    <n v="4"/>
    <x v="0"/>
    <n v="1"/>
    <n v="578"/>
    <n v="3"/>
    <x v="0"/>
    <x v="25"/>
    <n v="3"/>
    <n v="2"/>
    <x v="2"/>
    <n v="3"/>
    <x v="0"/>
    <x v="419"/>
    <n v="23428"/>
    <n v="7"/>
    <s v="Y"/>
    <x v="1"/>
    <n v="11"/>
    <n v="3"/>
    <n v="3"/>
    <n v="80"/>
    <n v="0"/>
    <n v="19"/>
    <n v="3"/>
    <n v="3"/>
    <n v="1"/>
    <n v="0"/>
    <x v="0"/>
    <x v="2"/>
  </r>
  <r>
    <x v="13"/>
    <x v="1"/>
    <x v="0"/>
    <n v="1303"/>
    <x v="1"/>
    <x v="2"/>
    <n v="4"/>
    <x v="0"/>
    <n v="1"/>
    <n v="579"/>
    <n v="4"/>
    <x v="1"/>
    <x v="50"/>
    <n v="2"/>
    <n v="1"/>
    <x v="1"/>
    <n v="3"/>
    <x v="2"/>
    <x v="420"/>
    <n v="8416"/>
    <n v="3"/>
    <s v="Y"/>
    <x v="1"/>
    <n v="12"/>
    <n v="3"/>
    <n v="3"/>
    <n v="80"/>
    <n v="1"/>
    <n v="14"/>
    <n v="3"/>
    <n v="3"/>
    <n v="7"/>
    <n v="3"/>
    <x v="8"/>
    <x v="1"/>
  </r>
  <r>
    <x v="21"/>
    <x v="1"/>
    <x v="0"/>
    <n v="1125"/>
    <x v="0"/>
    <x v="17"/>
    <n v="3"/>
    <x v="3"/>
    <n v="1"/>
    <n v="580"/>
    <n v="3"/>
    <x v="0"/>
    <x v="0"/>
    <n v="2"/>
    <n v="3"/>
    <x v="0"/>
    <n v="4"/>
    <x v="1"/>
    <x v="421"/>
    <n v="11563"/>
    <n v="2"/>
    <s v="Y"/>
    <x v="0"/>
    <n v="19"/>
    <n v="3"/>
    <n v="3"/>
    <n v="80"/>
    <n v="1"/>
    <n v="15"/>
    <n v="3"/>
    <n v="3"/>
    <n v="3"/>
    <n v="2"/>
    <x v="1"/>
    <x v="3"/>
  </r>
  <r>
    <x v="12"/>
    <x v="1"/>
    <x v="0"/>
    <n v="1274"/>
    <x v="1"/>
    <x v="14"/>
    <n v="1"/>
    <x v="0"/>
    <n v="1"/>
    <n v="581"/>
    <n v="3"/>
    <x v="1"/>
    <x v="30"/>
    <n v="3"/>
    <n v="3"/>
    <x v="3"/>
    <n v="2"/>
    <x v="2"/>
    <x v="422"/>
    <n v="14394"/>
    <n v="1"/>
    <s v="Y"/>
    <x v="1"/>
    <n v="25"/>
    <n v="4"/>
    <n v="4"/>
    <n v="80"/>
    <n v="1"/>
    <n v="13"/>
    <n v="6"/>
    <n v="4"/>
    <n v="13"/>
    <n v="8"/>
    <x v="0"/>
    <x v="5"/>
  </r>
  <r>
    <x v="3"/>
    <x v="0"/>
    <x v="0"/>
    <n v="1277"/>
    <x v="1"/>
    <x v="8"/>
    <n v="1"/>
    <x v="2"/>
    <n v="1"/>
    <n v="582"/>
    <n v="2"/>
    <x v="1"/>
    <x v="3"/>
    <n v="3"/>
    <n v="3"/>
    <x v="5"/>
    <n v="3"/>
    <x v="1"/>
    <x v="423"/>
    <n v="24619"/>
    <n v="7"/>
    <s v="Y"/>
    <x v="0"/>
    <n v="12"/>
    <n v="3"/>
    <n v="4"/>
    <n v="80"/>
    <n v="0"/>
    <n v="15"/>
    <n v="2"/>
    <n v="4"/>
    <n v="7"/>
    <n v="6"/>
    <x v="4"/>
    <x v="1"/>
  </r>
  <r>
    <x v="3"/>
    <x v="0"/>
    <x v="0"/>
    <n v="587"/>
    <x v="1"/>
    <x v="17"/>
    <n v="1"/>
    <x v="2"/>
    <n v="1"/>
    <n v="584"/>
    <n v="1"/>
    <x v="1"/>
    <x v="70"/>
    <n v="1"/>
    <n v="1"/>
    <x v="2"/>
    <n v="4"/>
    <x v="2"/>
    <x v="424"/>
    <n v="6705"/>
    <n v="7"/>
    <s v="Y"/>
    <x v="1"/>
    <n v="13"/>
    <n v="3"/>
    <n v="1"/>
    <n v="80"/>
    <n v="3"/>
    <n v="8"/>
    <n v="2"/>
    <n v="3"/>
    <n v="4"/>
    <n v="3"/>
    <x v="1"/>
    <x v="6"/>
  </r>
  <r>
    <x v="7"/>
    <x v="1"/>
    <x v="0"/>
    <n v="413"/>
    <x v="0"/>
    <x v="15"/>
    <n v="1"/>
    <x v="3"/>
    <n v="1"/>
    <n v="585"/>
    <n v="4"/>
    <x v="1"/>
    <x v="42"/>
    <n v="3"/>
    <n v="1"/>
    <x v="6"/>
    <n v="2"/>
    <x v="0"/>
    <x v="425"/>
    <n v="18398"/>
    <n v="0"/>
    <s v="Y"/>
    <x v="1"/>
    <n v="14"/>
    <n v="3"/>
    <n v="1"/>
    <n v="80"/>
    <n v="0"/>
    <n v="4"/>
    <n v="3"/>
    <n v="3"/>
    <n v="3"/>
    <n v="2"/>
    <x v="1"/>
    <x v="3"/>
  </r>
  <r>
    <x v="10"/>
    <x v="1"/>
    <x v="0"/>
    <n v="1276"/>
    <x v="1"/>
    <x v="7"/>
    <n v="3"/>
    <x v="0"/>
    <n v="1"/>
    <n v="586"/>
    <n v="4"/>
    <x v="1"/>
    <x v="23"/>
    <n v="3"/>
    <n v="3"/>
    <x v="4"/>
    <n v="3"/>
    <x v="1"/>
    <x v="426"/>
    <n v="14295"/>
    <n v="4"/>
    <s v="Y"/>
    <x v="0"/>
    <n v="12"/>
    <n v="3"/>
    <n v="3"/>
    <n v="80"/>
    <n v="0"/>
    <n v="10"/>
    <n v="2"/>
    <n v="3"/>
    <n v="8"/>
    <n v="7"/>
    <x v="0"/>
    <x v="2"/>
  </r>
  <r>
    <x v="12"/>
    <x v="0"/>
    <x v="1"/>
    <n v="534"/>
    <x v="1"/>
    <x v="25"/>
    <n v="3"/>
    <x v="0"/>
    <n v="1"/>
    <n v="587"/>
    <n v="1"/>
    <x v="1"/>
    <x v="45"/>
    <n v="3"/>
    <n v="3"/>
    <x v="4"/>
    <n v="3"/>
    <x v="1"/>
    <x v="427"/>
    <n v="22908"/>
    <n v="3"/>
    <s v="Y"/>
    <x v="1"/>
    <n v="12"/>
    <n v="3"/>
    <n v="1"/>
    <n v="80"/>
    <n v="0"/>
    <n v="12"/>
    <n v="2"/>
    <n v="3"/>
    <n v="1"/>
    <n v="0"/>
    <x v="0"/>
    <x v="2"/>
  </r>
  <r>
    <x v="13"/>
    <x v="0"/>
    <x v="1"/>
    <n v="988"/>
    <x v="2"/>
    <x v="5"/>
    <n v="3"/>
    <x v="5"/>
    <n v="1"/>
    <n v="590"/>
    <n v="2"/>
    <x v="0"/>
    <x v="38"/>
    <n v="3"/>
    <n v="3"/>
    <x v="8"/>
    <n v="1"/>
    <x v="2"/>
    <x v="428"/>
    <n v="11533"/>
    <n v="9"/>
    <s v="Y"/>
    <x v="0"/>
    <n v="15"/>
    <n v="3"/>
    <n v="3"/>
    <n v="80"/>
    <n v="3"/>
    <n v="11"/>
    <n v="2"/>
    <n v="3"/>
    <n v="3"/>
    <n v="2"/>
    <x v="0"/>
    <x v="3"/>
  </r>
  <r>
    <x v="19"/>
    <x v="1"/>
    <x v="1"/>
    <n v="1474"/>
    <x v="1"/>
    <x v="12"/>
    <n v="2"/>
    <x v="1"/>
    <n v="1"/>
    <n v="591"/>
    <n v="2"/>
    <x v="1"/>
    <x v="28"/>
    <n v="3"/>
    <n v="1"/>
    <x v="2"/>
    <n v="3"/>
    <x v="1"/>
    <x v="429"/>
    <n v="9260"/>
    <n v="4"/>
    <s v="Y"/>
    <x v="1"/>
    <n v="17"/>
    <n v="3"/>
    <n v="4"/>
    <n v="80"/>
    <n v="1"/>
    <n v="8"/>
    <n v="4"/>
    <n v="3"/>
    <n v="2"/>
    <n v="2"/>
    <x v="3"/>
    <x v="2"/>
  </r>
  <r>
    <x v="9"/>
    <x v="1"/>
    <x v="2"/>
    <n v="635"/>
    <x v="0"/>
    <x v="17"/>
    <n v="4"/>
    <x v="2"/>
    <n v="1"/>
    <n v="592"/>
    <n v="2"/>
    <x v="1"/>
    <x v="47"/>
    <n v="3"/>
    <n v="3"/>
    <x v="0"/>
    <n v="4"/>
    <x v="0"/>
    <x v="15"/>
    <n v="15318"/>
    <n v="1"/>
    <s v="Y"/>
    <x v="1"/>
    <n v="14"/>
    <n v="3"/>
    <n v="4"/>
    <n v="80"/>
    <n v="0"/>
    <n v="10"/>
    <n v="3"/>
    <n v="2"/>
    <n v="10"/>
    <n v="3"/>
    <x v="10"/>
    <x v="1"/>
  </r>
  <r>
    <x v="15"/>
    <x v="0"/>
    <x v="1"/>
    <n v="1368"/>
    <x v="1"/>
    <x v="18"/>
    <n v="1"/>
    <x v="4"/>
    <n v="1"/>
    <n v="593"/>
    <n v="3"/>
    <x v="1"/>
    <x v="39"/>
    <n v="2"/>
    <n v="1"/>
    <x v="2"/>
    <n v="3"/>
    <x v="0"/>
    <x v="430"/>
    <n v="9129"/>
    <n v="5"/>
    <s v="Y"/>
    <x v="1"/>
    <n v="16"/>
    <n v="3"/>
    <n v="3"/>
    <n v="80"/>
    <n v="0"/>
    <n v="4"/>
    <n v="3"/>
    <n v="3"/>
    <n v="2"/>
    <n v="2"/>
    <x v="1"/>
    <x v="3"/>
  </r>
  <r>
    <x v="26"/>
    <x v="1"/>
    <x v="0"/>
    <n v="163"/>
    <x v="0"/>
    <x v="2"/>
    <n v="5"/>
    <x v="3"/>
    <n v="1"/>
    <n v="595"/>
    <n v="2"/>
    <x v="0"/>
    <x v="31"/>
    <n v="3"/>
    <n v="2"/>
    <x v="0"/>
    <n v="4"/>
    <x v="1"/>
    <x v="431"/>
    <n v="19658"/>
    <n v="2"/>
    <s v="Y"/>
    <x v="1"/>
    <n v="14"/>
    <n v="3"/>
    <n v="1"/>
    <n v="80"/>
    <n v="1"/>
    <n v="14"/>
    <n v="2"/>
    <n v="3"/>
    <n v="9"/>
    <n v="7"/>
    <x v="7"/>
    <x v="1"/>
  </r>
  <r>
    <x v="27"/>
    <x v="1"/>
    <x v="0"/>
    <n v="1117"/>
    <x v="0"/>
    <x v="21"/>
    <n v="5"/>
    <x v="0"/>
    <n v="1"/>
    <n v="597"/>
    <n v="1"/>
    <x v="0"/>
    <x v="21"/>
    <n v="3"/>
    <n v="4"/>
    <x v="5"/>
    <n v="2"/>
    <x v="0"/>
    <x v="432"/>
    <n v="9873"/>
    <n v="3"/>
    <s v="Y"/>
    <x v="1"/>
    <n v="23"/>
    <n v="4"/>
    <n v="4"/>
    <n v="80"/>
    <n v="0"/>
    <n v="37"/>
    <n v="2"/>
    <n v="3"/>
    <n v="10"/>
    <n v="9"/>
    <x v="4"/>
    <x v="1"/>
  </r>
  <r>
    <x v="0"/>
    <x v="1"/>
    <x v="2"/>
    <n v="267"/>
    <x v="0"/>
    <x v="17"/>
    <n v="2"/>
    <x v="0"/>
    <n v="1"/>
    <n v="599"/>
    <n v="4"/>
    <x v="1"/>
    <x v="3"/>
    <n v="3"/>
    <n v="2"/>
    <x v="0"/>
    <n v="4"/>
    <x v="0"/>
    <x v="433"/>
    <n v="13430"/>
    <n v="7"/>
    <s v="Y"/>
    <x v="1"/>
    <n v="14"/>
    <n v="3"/>
    <n v="4"/>
    <n v="80"/>
    <n v="0"/>
    <n v="16"/>
    <n v="3"/>
    <n v="3"/>
    <n v="14"/>
    <n v="3"/>
    <x v="1"/>
    <x v="13"/>
  </r>
  <r>
    <x v="10"/>
    <x v="1"/>
    <x v="0"/>
    <n v="619"/>
    <x v="0"/>
    <x v="0"/>
    <n v="3"/>
    <x v="3"/>
    <n v="1"/>
    <n v="600"/>
    <n v="2"/>
    <x v="1"/>
    <x v="65"/>
    <n v="3"/>
    <n v="2"/>
    <x v="0"/>
    <n v="3"/>
    <x v="1"/>
    <x v="434"/>
    <n v="18659"/>
    <n v="9"/>
    <s v="Y"/>
    <x v="1"/>
    <n v="11"/>
    <n v="3"/>
    <n v="3"/>
    <n v="80"/>
    <n v="0"/>
    <n v="15"/>
    <n v="2"/>
    <n v="3"/>
    <n v="11"/>
    <n v="9"/>
    <x v="7"/>
    <x v="12"/>
  </r>
  <r>
    <x v="32"/>
    <x v="1"/>
    <x v="0"/>
    <n v="302"/>
    <x v="1"/>
    <x v="16"/>
    <n v="3"/>
    <x v="0"/>
    <n v="1"/>
    <n v="601"/>
    <n v="2"/>
    <x v="0"/>
    <x v="29"/>
    <n v="3"/>
    <n v="4"/>
    <x v="3"/>
    <n v="3"/>
    <x v="0"/>
    <x v="435"/>
    <n v="20364"/>
    <n v="7"/>
    <s v="Y"/>
    <x v="1"/>
    <n v="15"/>
    <n v="3"/>
    <n v="3"/>
    <n v="80"/>
    <n v="0"/>
    <n v="22"/>
    <n v="3"/>
    <n v="3"/>
    <n v="20"/>
    <n v="6"/>
    <x v="8"/>
    <x v="15"/>
  </r>
  <r>
    <x v="22"/>
    <x v="1"/>
    <x v="1"/>
    <n v="443"/>
    <x v="1"/>
    <x v="1"/>
    <n v="1"/>
    <x v="0"/>
    <n v="1"/>
    <n v="602"/>
    <n v="3"/>
    <x v="0"/>
    <x v="24"/>
    <n v="3"/>
    <n v="1"/>
    <x v="2"/>
    <n v="3"/>
    <x v="1"/>
    <x v="436"/>
    <n v="17872"/>
    <n v="1"/>
    <s v="Y"/>
    <x v="1"/>
    <n v="11"/>
    <n v="3"/>
    <n v="1"/>
    <n v="80"/>
    <n v="1"/>
    <n v="8"/>
    <n v="3"/>
    <n v="3"/>
    <n v="8"/>
    <n v="3"/>
    <x v="0"/>
    <x v="1"/>
  </r>
  <r>
    <x v="12"/>
    <x v="1"/>
    <x v="0"/>
    <n v="828"/>
    <x v="0"/>
    <x v="2"/>
    <n v="1"/>
    <x v="0"/>
    <n v="1"/>
    <n v="604"/>
    <n v="2"/>
    <x v="1"/>
    <x v="57"/>
    <n v="3"/>
    <n v="2"/>
    <x v="0"/>
    <n v="4"/>
    <x v="0"/>
    <x v="437"/>
    <n v="8346"/>
    <n v="4"/>
    <s v="Y"/>
    <x v="0"/>
    <n v="13"/>
    <n v="3"/>
    <n v="3"/>
    <n v="80"/>
    <n v="0"/>
    <n v="10"/>
    <n v="2"/>
    <n v="4"/>
    <n v="6"/>
    <n v="5"/>
    <x v="0"/>
    <x v="0"/>
  </r>
  <r>
    <x v="19"/>
    <x v="1"/>
    <x v="0"/>
    <n v="319"/>
    <x v="1"/>
    <x v="4"/>
    <n v="3"/>
    <x v="2"/>
    <n v="1"/>
    <n v="605"/>
    <n v="4"/>
    <x v="1"/>
    <x v="3"/>
    <n v="3"/>
    <n v="3"/>
    <x v="3"/>
    <n v="1"/>
    <x v="1"/>
    <x v="438"/>
    <n v="6950"/>
    <n v="1"/>
    <s v="Y"/>
    <x v="0"/>
    <n v="21"/>
    <n v="4"/>
    <n v="4"/>
    <n v="80"/>
    <n v="1"/>
    <n v="10"/>
    <n v="5"/>
    <n v="2"/>
    <n v="10"/>
    <n v="9"/>
    <x v="8"/>
    <x v="5"/>
  </r>
  <r>
    <x v="28"/>
    <x v="1"/>
    <x v="0"/>
    <n v="561"/>
    <x v="0"/>
    <x v="2"/>
    <n v="3"/>
    <x v="1"/>
    <n v="1"/>
    <n v="606"/>
    <n v="4"/>
    <x v="1"/>
    <x v="1"/>
    <n v="3"/>
    <n v="2"/>
    <x v="0"/>
    <n v="2"/>
    <x v="1"/>
    <x v="439"/>
    <n v="16177"/>
    <n v="0"/>
    <s v="Y"/>
    <x v="1"/>
    <n v="19"/>
    <n v="3"/>
    <n v="2"/>
    <n v="80"/>
    <n v="1"/>
    <n v="9"/>
    <n v="3"/>
    <n v="4"/>
    <n v="8"/>
    <n v="7"/>
    <x v="2"/>
    <x v="1"/>
  </r>
  <r>
    <x v="25"/>
    <x v="0"/>
    <x v="1"/>
    <n v="426"/>
    <x v="2"/>
    <x v="27"/>
    <n v="4"/>
    <x v="0"/>
    <n v="1"/>
    <n v="608"/>
    <n v="2"/>
    <x v="0"/>
    <x v="22"/>
    <n v="3"/>
    <n v="1"/>
    <x v="8"/>
    <n v="3"/>
    <x v="2"/>
    <x v="199"/>
    <n v="22808"/>
    <n v="0"/>
    <s v="Y"/>
    <x v="0"/>
    <n v="11"/>
    <n v="3"/>
    <n v="2"/>
    <n v="80"/>
    <n v="1"/>
    <n v="8"/>
    <n v="2"/>
    <n v="2"/>
    <n v="7"/>
    <n v="7"/>
    <x v="1"/>
    <x v="2"/>
  </r>
  <r>
    <x v="11"/>
    <x v="1"/>
    <x v="0"/>
    <n v="232"/>
    <x v="1"/>
    <x v="10"/>
    <n v="3"/>
    <x v="4"/>
    <n v="1"/>
    <n v="611"/>
    <n v="4"/>
    <x v="1"/>
    <x v="61"/>
    <n v="3"/>
    <n v="2"/>
    <x v="3"/>
    <n v="4"/>
    <x v="2"/>
    <x v="440"/>
    <n v="22645"/>
    <n v="4"/>
    <s v="Y"/>
    <x v="1"/>
    <n v="12"/>
    <n v="3"/>
    <n v="2"/>
    <n v="80"/>
    <n v="2"/>
    <n v="8"/>
    <n v="2"/>
    <n v="4"/>
    <n v="3"/>
    <n v="2"/>
    <x v="1"/>
    <x v="3"/>
  </r>
  <r>
    <x v="3"/>
    <x v="1"/>
    <x v="0"/>
    <n v="922"/>
    <x v="1"/>
    <x v="0"/>
    <n v="5"/>
    <x v="2"/>
    <n v="1"/>
    <n v="612"/>
    <n v="1"/>
    <x v="0"/>
    <x v="41"/>
    <n v="4"/>
    <n v="4"/>
    <x v="7"/>
    <n v="3"/>
    <x v="2"/>
    <x v="441"/>
    <n v="22578"/>
    <n v="4"/>
    <s v="Y"/>
    <x v="1"/>
    <n v="19"/>
    <n v="3"/>
    <n v="3"/>
    <n v="80"/>
    <n v="1"/>
    <n v="10"/>
    <n v="2"/>
    <n v="3"/>
    <n v="6"/>
    <n v="1"/>
    <x v="0"/>
    <x v="0"/>
  </r>
  <r>
    <x v="12"/>
    <x v="1"/>
    <x v="0"/>
    <n v="688"/>
    <x v="0"/>
    <x v="15"/>
    <n v="3"/>
    <x v="0"/>
    <n v="1"/>
    <n v="613"/>
    <n v="3"/>
    <x v="1"/>
    <x v="8"/>
    <n v="2"/>
    <n v="3"/>
    <x v="5"/>
    <n v="4"/>
    <x v="2"/>
    <x v="442"/>
    <n v="25291"/>
    <n v="9"/>
    <s v="Y"/>
    <x v="1"/>
    <n v="21"/>
    <n v="4"/>
    <n v="3"/>
    <n v="80"/>
    <n v="1"/>
    <n v="10"/>
    <n v="3"/>
    <n v="2"/>
    <n v="5"/>
    <n v="4"/>
    <x v="0"/>
    <x v="9"/>
  </r>
  <r>
    <x v="41"/>
    <x v="0"/>
    <x v="1"/>
    <n v="1306"/>
    <x v="0"/>
    <x v="12"/>
    <n v="3"/>
    <x v="3"/>
    <n v="1"/>
    <n v="614"/>
    <n v="2"/>
    <x v="1"/>
    <x v="68"/>
    <n v="3"/>
    <n v="1"/>
    <x v="6"/>
    <n v="2"/>
    <x v="0"/>
    <x v="443"/>
    <n v="8059"/>
    <n v="1"/>
    <s v="Y"/>
    <x v="0"/>
    <n v="14"/>
    <n v="3"/>
    <n v="4"/>
    <n v="80"/>
    <n v="0"/>
    <n v="0"/>
    <n v="3"/>
    <n v="3"/>
    <n v="0"/>
    <n v="0"/>
    <x v="0"/>
    <x v="2"/>
  </r>
  <r>
    <x v="32"/>
    <x v="1"/>
    <x v="2"/>
    <n v="1094"/>
    <x v="0"/>
    <x v="26"/>
    <n v="3"/>
    <x v="1"/>
    <n v="1"/>
    <n v="615"/>
    <n v="3"/>
    <x v="1"/>
    <x v="22"/>
    <n v="1"/>
    <n v="3"/>
    <x v="0"/>
    <n v="1"/>
    <x v="2"/>
    <x v="444"/>
    <n v="11373"/>
    <n v="3"/>
    <s v="Y"/>
    <x v="1"/>
    <n v="15"/>
    <n v="3"/>
    <n v="3"/>
    <n v="80"/>
    <n v="1"/>
    <n v="20"/>
    <n v="2"/>
    <n v="3"/>
    <n v="1"/>
    <n v="0"/>
    <x v="0"/>
    <x v="9"/>
  </r>
  <r>
    <x v="0"/>
    <x v="1"/>
    <x v="2"/>
    <n v="509"/>
    <x v="1"/>
    <x v="2"/>
    <n v="4"/>
    <x v="1"/>
    <n v="1"/>
    <n v="616"/>
    <n v="1"/>
    <x v="0"/>
    <x v="50"/>
    <n v="2"/>
    <n v="2"/>
    <x v="4"/>
    <n v="3"/>
    <x v="0"/>
    <x v="445"/>
    <n v="2112"/>
    <n v="2"/>
    <s v="Y"/>
    <x v="0"/>
    <n v="17"/>
    <n v="3"/>
    <n v="1"/>
    <n v="80"/>
    <n v="0"/>
    <n v="10"/>
    <n v="3"/>
    <n v="3"/>
    <n v="8"/>
    <n v="7"/>
    <x v="0"/>
    <x v="1"/>
  </r>
  <r>
    <x v="25"/>
    <x v="1"/>
    <x v="0"/>
    <n v="775"/>
    <x v="0"/>
    <x v="22"/>
    <n v="2"/>
    <x v="2"/>
    <n v="1"/>
    <n v="618"/>
    <n v="1"/>
    <x v="1"/>
    <x v="18"/>
    <n v="3"/>
    <n v="2"/>
    <x v="0"/>
    <n v="3"/>
    <x v="2"/>
    <x v="383"/>
    <n v="4267"/>
    <n v="5"/>
    <s v="Y"/>
    <x v="1"/>
    <n v="12"/>
    <n v="3"/>
    <n v="1"/>
    <n v="80"/>
    <n v="2"/>
    <n v="8"/>
    <n v="5"/>
    <n v="3"/>
    <n v="0"/>
    <n v="0"/>
    <x v="0"/>
    <x v="2"/>
  </r>
  <r>
    <x v="10"/>
    <x v="1"/>
    <x v="0"/>
    <n v="195"/>
    <x v="0"/>
    <x v="0"/>
    <n v="3"/>
    <x v="2"/>
    <n v="1"/>
    <n v="620"/>
    <n v="1"/>
    <x v="0"/>
    <x v="15"/>
    <n v="3"/>
    <n v="2"/>
    <x v="0"/>
    <n v="3"/>
    <x v="0"/>
    <x v="446"/>
    <n v="6698"/>
    <n v="1"/>
    <s v="Y"/>
    <x v="1"/>
    <n v="16"/>
    <n v="3"/>
    <n v="4"/>
    <n v="80"/>
    <n v="0"/>
    <n v="5"/>
    <n v="3"/>
    <n v="3"/>
    <n v="5"/>
    <n v="4"/>
    <x v="0"/>
    <x v="6"/>
  </r>
  <r>
    <x v="13"/>
    <x v="1"/>
    <x v="0"/>
    <n v="258"/>
    <x v="0"/>
    <x v="11"/>
    <n v="4"/>
    <x v="0"/>
    <n v="1"/>
    <n v="621"/>
    <n v="4"/>
    <x v="1"/>
    <x v="69"/>
    <n v="4"/>
    <n v="2"/>
    <x v="0"/>
    <n v="4"/>
    <x v="0"/>
    <x v="447"/>
    <n v="19921"/>
    <n v="1"/>
    <s v="Y"/>
    <x v="1"/>
    <n v="12"/>
    <n v="3"/>
    <n v="4"/>
    <n v="80"/>
    <n v="0"/>
    <n v="10"/>
    <n v="3"/>
    <n v="3"/>
    <n v="10"/>
    <n v="7"/>
    <x v="8"/>
    <x v="1"/>
  </r>
  <r>
    <x v="25"/>
    <x v="0"/>
    <x v="0"/>
    <n v="471"/>
    <x v="1"/>
    <x v="4"/>
    <n v="3"/>
    <x v="4"/>
    <n v="1"/>
    <n v="622"/>
    <n v="3"/>
    <x v="1"/>
    <x v="45"/>
    <n v="1"/>
    <n v="1"/>
    <x v="2"/>
    <n v="4"/>
    <x v="0"/>
    <x v="246"/>
    <n v="23213"/>
    <n v="1"/>
    <s v="Y"/>
    <x v="0"/>
    <n v="18"/>
    <n v="3"/>
    <n v="2"/>
    <n v="80"/>
    <n v="0"/>
    <n v="1"/>
    <n v="3"/>
    <n v="1"/>
    <n v="1"/>
    <n v="0"/>
    <x v="0"/>
    <x v="2"/>
  </r>
  <r>
    <x v="2"/>
    <x v="1"/>
    <x v="0"/>
    <n v="799"/>
    <x v="1"/>
    <x v="0"/>
    <n v="3"/>
    <x v="4"/>
    <n v="1"/>
    <n v="623"/>
    <n v="2"/>
    <x v="0"/>
    <x v="40"/>
    <n v="3"/>
    <n v="3"/>
    <x v="3"/>
    <n v="4"/>
    <x v="0"/>
    <x v="448"/>
    <n v="23848"/>
    <n v="4"/>
    <s v="Y"/>
    <x v="1"/>
    <n v="17"/>
    <n v="3"/>
    <n v="4"/>
    <n v="80"/>
    <n v="0"/>
    <n v="12"/>
    <n v="3"/>
    <n v="4"/>
    <n v="6"/>
    <n v="5"/>
    <x v="1"/>
    <x v="3"/>
  </r>
  <r>
    <x v="21"/>
    <x v="1"/>
    <x v="1"/>
    <n v="1034"/>
    <x v="1"/>
    <x v="21"/>
    <n v="1"/>
    <x v="2"/>
    <n v="1"/>
    <n v="624"/>
    <n v="1"/>
    <x v="0"/>
    <x v="27"/>
    <n v="3"/>
    <n v="3"/>
    <x v="4"/>
    <n v="3"/>
    <x v="1"/>
    <x v="449"/>
    <n v="8984"/>
    <n v="5"/>
    <s v="Y"/>
    <x v="1"/>
    <n v="11"/>
    <n v="3"/>
    <n v="4"/>
    <n v="80"/>
    <n v="0"/>
    <n v="28"/>
    <n v="3"/>
    <n v="2"/>
    <n v="2"/>
    <n v="2"/>
    <x v="1"/>
    <x v="3"/>
  </r>
  <r>
    <x v="0"/>
    <x v="1"/>
    <x v="0"/>
    <n v="1276"/>
    <x v="0"/>
    <x v="2"/>
    <n v="5"/>
    <x v="0"/>
    <n v="1"/>
    <n v="625"/>
    <n v="2"/>
    <x v="0"/>
    <x v="59"/>
    <n v="3"/>
    <n v="4"/>
    <x v="5"/>
    <n v="1"/>
    <x v="1"/>
    <x v="450"/>
    <n v="5626"/>
    <n v="7"/>
    <s v="Y"/>
    <x v="1"/>
    <n v="16"/>
    <n v="3"/>
    <n v="2"/>
    <n v="80"/>
    <n v="1"/>
    <n v="22"/>
    <n v="2"/>
    <n v="3"/>
    <n v="18"/>
    <n v="16"/>
    <x v="14"/>
    <x v="5"/>
  </r>
  <r>
    <x v="2"/>
    <x v="1"/>
    <x v="2"/>
    <n v="142"/>
    <x v="0"/>
    <x v="14"/>
    <n v="4"/>
    <x v="2"/>
    <n v="1"/>
    <n v="626"/>
    <n v="1"/>
    <x v="1"/>
    <x v="68"/>
    <n v="3"/>
    <n v="3"/>
    <x v="0"/>
    <n v="2"/>
    <x v="2"/>
    <x v="451"/>
    <n v="24666"/>
    <n v="1"/>
    <s v="Y"/>
    <x v="1"/>
    <n v="13"/>
    <n v="3"/>
    <n v="4"/>
    <n v="80"/>
    <n v="1"/>
    <n v="9"/>
    <n v="6"/>
    <n v="3"/>
    <n v="9"/>
    <n v="5"/>
    <x v="4"/>
    <x v="1"/>
  </r>
  <r>
    <x v="39"/>
    <x v="1"/>
    <x v="0"/>
    <n v="956"/>
    <x v="1"/>
    <x v="16"/>
    <n v="2"/>
    <x v="4"/>
    <n v="1"/>
    <n v="630"/>
    <n v="4"/>
    <x v="1"/>
    <x v="17"/>
    <n v="3"/>
    <n v="2"/>
    <x v="1"/>
    <n v="1"/>
    <x v="2"/>
    <x v="452"/>
    <n v="22087"/>
    <n v="3"/>
    <s v="Y"/>
    <x v="0"/>
    <n v="12"/>
    <n v="3"/>
    <n v="2"/>
    <n v="80"/>
    <n v="2"/>
    <n v="18"/>
    <n v="3"/>
    <n v="3"/>
    <n v="10"/>
    <n v="9"/>
    <x v="7"/>
    <x v="12"/>
  </r>
  <r>
    <x v="5"/>
    <x v="0"/>
    <x v="2"/>
    <n v="1474"/>
    <x v="0"/>
    <x v="13"/>
    <n v="4"/>
    <x v="1"/>
    <n v="1"/>
    <n v="631"/>
    <n v="4"/>
    <x v="1"/>
    <x v="53"/>
    <n v="4"/>
    <n v="2"/>
    <x v="0"/>
    <n v="3"/>
    <x v="1"/>
    <x v="453"/>
    <n v="23914"/>
    <n v="8"/>
    <s v="Y"/>
    <x v="1"/>
    <n v="12"/>
    <n v="3"/>
    <n v="4"/>
    <n v="80"/>
    <n v="0"/>
    <n v="6"/>
    <n v="2"/>
    <n v="3"/>
    <n v="4"/>
    <n v="2"/>
    <x v="1"/>
    <x v="3"/>
  </r>
  <r>
    <x v="17"/>
    <x v="1"/>
    <x v="1"/>
    <n v="535"/>
    <x v="0"/>
    <x v="4"/>
    <n v="3"/>
    <x v="2"/>
    <n v="1"/>
    <n v="632"/>
    <n v="4"/>
    <x v="1"/>
    <x v="70"/>
    <n v="3"/>
    <n v="1"/>
    <x v="6"/>
    <n v="4"/>
    <x v="1"/>
    <x v="454"/>
    <n v="5530"/>
    <n v="0"/>
    <s v="Y"/>
    <x v="1"/>
    <n v="13"/>
    <n v="3"/>
    <n v="3"/>
    <n v="80"/>
    <n v="2"/>
    <n v="3"/>
    <n v="3"/>
    <n v="3"/>
    <n v="2"/>
    <n v="2"/>
    <x v="3"/>
    <x v="9"/>
  </r>
  <r>
    <x v="8"/>
    <x v="1"/>
    <x v="0"/>
    <n v="1495"/>
    <x v="1"/>
    <x v="17"/>
    <n v="3"/>
    <x v="2"/>
    <n v="1"/>
    <n v="634"/>
    <n v="3"/>
    <x v="0"/>
    <x v="43"/>
    <n v="3"/>
    <n v="2"/>
    <x v="4"/>
    <n v="3"/>
    <x v="1"/>
    <x v="427"/>
    <n v="22174"/>
    <n v="3"/>
    <s v="Y"/>
    <x v="1"/>
    <n v="19"/>
    <n v="3"/>
    <n v="3"/>
    <n v="80"/>
    <n v="1"/>
    <n v="18"/>
    <n v="4"/>
    <n v="3"/>
    <n v="1"/>
    <n v="0"/>
    <x v="0"/>
    <x v="2"/>
  </r>
  <r>
    <x v="2"/>
    <x v="1"/>
    <x v="0"/>
    <n v="446"/>
    <x v="1"/>
    <x v="0"/>
    <n v="4"/>
    <x v="0"/>
    <n v="1"/>
    <n v="635"/>
    <n v="2"/>
    <x v="0"/>
    <x v="63"/>
    <n v="3"/>
    <n v="2"/>
    <x v="3"/>
    <n v="2"/>
    <x v="1"/>
    <x v="455"/>
    <n v="15701"/>
    <n v="6"/>
    <s v="Y"/>
    <x v="1"/>
    <n v="12"/>
    <n v="3"/>
    <n v="2"/>
    <n v="80"/>
    <n v="1"/>
    <n v="8"/>
    <n v="2"/>
    <n v="2"/>
    <n v="6"/>
    <n v="5"/>
    <x v="5"/>
    <x v="6"/>
  </r>
  <r>
    <x v="1"/>
    <x v="1"/>
    <x v="0"/>
    <n v="1245"/>
    <x v="1"/>
    <x v="21"/>
    <n v="4"/>
    <x v="0"/>
    <n v="1"/>
    <n v="638"/>
    <n v="4"/>
    <x v="1"/>
    <x v="22"/>
    <n v="2"/>
    <n v="5"/>
    <x v="7"/>
    <n v="3"/>
    <x v="2"/>
    <x v="456"/>
    <n v="2125"/>
    <n v="1"/>
    <s v="Y"/>
    <x v="0"/>
    <n v="17"/>
    <n v="3"/>
    <n v="3"/>
    <n v="80"/>
    <n v="1"/>
    <n v="31"/>
    <n v="5"/>
    <n v="3"/>
    <n v="31"/>
    <n v="9"/>
    <x v="0"/>
    <x v="12"/>
  </r>
  <r>
    <x v="17"/>
    <x v="1"/>
    <x v="0"/>
    <n v="691"/>
    <x v="1"/>
    <x v="5"/>
    <n v="3"/>
    <x v="2"/>
    <n v="1"/>
    <n v="639"/>
    <n v="2"/>
    <x v="1"/>
    <x v="66"/>
    <n v="4"/>
    <n v="1"/>
    <x v="1"/>
    <n v="4"/>
    <x v="1"/>
    <x v="457"/>
    <n v="21630"/>
    <n v="1"/>
    <s v="Y"/>
    <x v="0"/>
    <n v="11"/>
    <n v="3"/>
    <n v="2"/>
    <n v="80"/>
    <n v="2"/>
    <n v="6"/>
    <n v="3"/>
    <n v="3"/>
    <n v="6"/>
    <n v="5"/>
    <x v="1"/>
    <x v="10"/>
  </r>
  <r>
    <x v="25"/>
    <x v="1"/>
    <x v="0"/>
    <n v="703"/>
    <x v="0"/>
    <x v="26"/>
    <n v="2"/>
    <x v="3"/>
    <n v="1"/>
    <n v="641"/>
    <n v="1"/>
    <x v="1"/>
    <x v="45"/>
    <n v="3"/>
    <n v="2"/>
    <x v="0"/>
    <n v="2"/>
    <x v="1"/>
    <x v="458"/>
    <n v="7428"/>
    <n v="1"/>
    <s v="Y"/>
    <x v="1"/>
    <n v="20"/>
    <n v="4"/>
    <n v="4"/>
    <n v="80"/>
    <n v="2"/>
    <n v="6"/>
    <n v="5"/>
    <n v="4"/>
    <n v="5"/>
    <n v="3"/>
    <x v="1"/>
    <x v="10"/>
  </r>
  <r>
    <x v="17"/>
    <x v="1"/>
    <x v="0"/>
    <n v="823"/>
    <x v="1"/>
    <x v="27"/>
    <n v="2"/>
    <x v="1"/>
    <n v="1"/>
    <n v="643"/>
    <n v="4"/>
    <x v="1"/>
    <x v="0"/>
    <n v="2"/>
    <n v="1"/>
    <x v="2"/>
    <n v="2"/>
    <x v="1"/>
    <x v="459"/>
    <n v="9100"/>
    <n v="1"/>
    <s v="Y"/>
    <x v="1"/>
    <n v="21"/>
    <n v="4"/>
    <n v="4"/>
    <n v="80"/>
    <n v="1"/>
    <n v="1"/>
    <n v="2"/>
    <n v="3"/>
    <n v="1"/>
    <n v="0"/>
    <x v="0"/>
    <x v="2"/>
  </r>
  <r>
    <x v="24"/>
    <x v="1"/>
    <x v="1"/>
    <n v="1246"/>
    <x v="2"/>
    <x v="3"/>
    <n v="3"/>
    <x v="2"/>
    <n v="1"/>
    <n v="644"/>
    <n v="1"/>
    <x v="1"/>
    <x v="39"/>
    <n v="3"/>
    <n v="5"/>
    <x v="5"/>
    <n v="2"/>
    <x v="1"/>
    <x v="460"/>
    <n v="7999"/>
    <n v="1"/>
    <s v="Y"/>
    <x v="1"/>
    <n v="11"/>
    <n v="3"/>
    <n v="3"/>
    <n v="80"/>
    <n v="1"/>
    <n v="32"/>
    <n v="2"/>
    <n v="3"/>
    <n v="32"/>
    <n v="5"/>
    <x v="13"/>
    <x v="1"/>
  </r>
  <r>
    <x v="36"/>
    <x v="1"/>
    <x v="0"/>
    <n v="622"/>
    <x v="0"/>
    <x v="28"/>
    <n v="1"/>
    <x v="2"/>
    <n v="1"/>
    <n v="645"/>
    <n v="2"/>
    <x v="1"/>
    <x v="4"/>
    <n v="3"/>
    <n v="1"/>
    <x v="6"/>
    <n v="3"/>
    <x v="1"/>
    <x v="461"/>
    <n v="26376"/>
    <n v="1"/>
    <s v="Y"/>
    <x v="1"/>
    <n v="11"/>
    <n v="3"/>
    <n v="3"/>
    <n v="80"/>
    <n v="0"/>
    <n v="7"/>
    <n v="1"/>
    <n v="3"/>
    <n v="7"/>
    <n v="4"/>
    <x v="0"/>
    <x v="4"/>
  </r>
  <r>
    <x v="17"/>
    <x v="0"/>
    <x v="1"/>
    <n v="1287"/>
    <x v="1"/>
    <x v="15"/>
    <n v="3"/>
    <x v="0"/>
    <n v="1"/>
    <n v="647"/>
    <n v="1"/>
    <x v="0"/>
    <x v="46"/>
    <n v="3"/>
    <n v="1"/>
    <x v="2"/>
    <n v="3"/>
    <x v="1"/>
    <x v="407"/>
    <n v="14168"/>
    <n v="1"/>
    <s v="Y"/>
    <x v="0"/>
    <n v="16"/>
    <n v="3"/>
    <n v="4"/>
    <n v="80"/>
    <n v="1"/>
    <n v="6"/>
    <n v="4"/>
    <n v="3"/>
    <n v="6"/>
    <n v="3"/>
    <x v="1"/>
    <x v="3"/>
  </r>
  <r>
    <x v="7"/>
    <x v="0"/>
    <x v="1"/>
    <n v="448"/>
    <x v="0"/>
    <x v="20"/>
    <n v="4"/>
    <x v="0"/>
    <n v="1"/>
    <n v="648"/>
    <n v="2"/>
    <x v="1"/>
    <x v="69"/>
    <n v="2"/>
    <n v="1"/>
    <x v="6"/>
    <n v="1"/>
    <x v="1"/>
    <x v="462"/>
    <n v="14470"/>
    <n v="1"/>
    <s v="Y"/>
    <x v="1"/>
    <n v="18"/>
    <n v="3"/>
    <n v="3"/>
    <n v="80"/>
    <n v="1"/>
    <n v="1"/>
    <n v="2"/>
    <n v="4"/>
    <n v="1"/>
    <n v="0"/>
    <x v="0"/>
    <x v="2"/>
  </r>
  <r>
    <x v="13"/>
    <x v="1"/>
    <x v="0"/>
    <n v="254"/>
    <x v="1"/>
    <x v="0"/>
    <n v="2"/>
    <x v="0"/>
    <n v="1"/>
    <n v="649"/>
    <n v="2"/>
    <x v="1"/>
    <x v="21"/>
    <n v="2"/>
    <n v="1"/>
    <x v="1"/>
    <n v="4"/>
    <x v="1"/>
    <x v="463"/>
    <n v="22794"/>
    <n v="1"/>
    <s v="Y"/>
    <x v="0"/>
    <n v="13"/>
    <n v="3"/>
    <n v="4"/>
    <n v="80"/>
    <n v="1"/>
    <n v="6"/>
    <n v="3"/>
    <n v="3"/>
    <n v="6"/>
    <n v="5"/>
    <x v="1"/>
    <x v="6"/>
  </r>
  <r>
    <x v="12"/>
    <x v="0"/>
    <x v="0"/>
    <n v="1365"/>
    <x v="0"/>
    <x v="28"/>
    <n v="4"/>
    <x v="2"/>
    <n v="1"/>
    <n v="650"/>
    <n v="2"/>
    <x v="1"/>
    <x v="55"/>
    <n v="3"/>
    <n v="2"/>
    <x v="0"/>
    <n v="1"/>
    <x v="2"/>
    <x v="464"/>
    <n v="11512"/>
    <n v="2"/>
    <s v="Y"/>
    <x v="1"/>
    <n v="17"/>
    <n v="3"/>
    <n v="3"/>
    <n v="80"/>
    <n v="0"/>
    <n v="9"/>
    <n v="2"/>
    <n v="1"/>
    <n v="3"/>
    <n v="1"/>
    <x v="1"/>
    <x v="3"/>
  </r>
  <r>
    <x v="10"/>
    <x v="1"/>
    <x v="0"/>
    <n v="538"/>
    <x v="1"/>
    <x v="19"/>
    <n v="2"/>
    <x v="1"/>
    <n v="1"/>
    <n v="652"/>
    <n v="1"/>
    <x v="1"/>
    <x v="60"/>
    <n v="2"/>
    <n v="2"/>
    <x v="2"/>
    <n v="4"/>
    <x v="0"/>
    <x v="465"/>
    <n v="14004"/>
    <n v="4"/>
    <s v="Y"/>
    <x v="1"/>
    <n v="14"/>
    <n v="3"/>
    <n v="4"/>
    <n v="80"/>
    <n v="0"/>
    <n v="9"/>
    <n v="3"/>
    <n v="3"/>
    <n v="3"/>
    <n v="2"/>
    <x v="0"/>
    <x v="3"/>
  </r>
  <r>
    <x v="12"/>
    <x v="1"/>
    <x v="0"/>
    <n v="525"/>
    <x v="0"/>
    <x v="16"/>
    <n v="4"/>
    <x v="2"/>
    <n v="1"/>
    <n v="653"/>
    <n v="1"/>
    <x v="1"/>
    <x v="45"/>
    <n v="4"/>
    <n v="2"/>
    <x v="0"/>
    <n v="4"/>
    <x v="2"/>
    <x v="466"/>
    <n v="6219"/>
    <n v="4"/>
    <s v="Y"/>
    <x v="1"/>
    <n v="22"/>
    <n v="4"/>
    <n v="4"/>
    <n v="80"/>
    <n v="2"/>
    <n v="13"/>
    <n v="4"/>
    <n v="4"/>
    <n v="7"/>
    <n v="7"/>
    <x v="8"/>
    <x v="1"/>
  </r>
  <r>
    <x v="4"/>
    <x v="1"/>
    <x v="0"/>
    <n v="798"/>
    <x v="1"/>
    <x v="16"/>
    <n v="4"/>
    <x v="2"/>
    <n v="1"/>
    <n v="655"/>
    <n v="1"/>
    <x v="0"/>
    <x v="45"/>
    <n v="2"/>
    <n v="1"/>
    <x v="1"/>
    <n v="3"/>
    <x v="2"/>
    <x v="467"/>
    <n v="5013"/>
    <n v="0"/>
    <s v="Y"/>
    <x v="1"/>
    <n v="12"/>
    <n v="3"/>
    <n v="3"/>
    <n v="80"/>
    <n v="2"/>
    <n v="6"/>
    <n v="5"/>
    <n v="2"/>
    <n v="5"/>
    <n v="3"/>
    <x v="0"/>
    <x v="6"/>
  </r>
  <r>
    <x v="2"/>
    <x v="1"/>
    <x v="0"/>
    <n v="558"/>
    <x v="0"/>
    <x v="2"/>
    <n v="3"/>
    <x v="3"/>
    <n v="1"/>
    <n v="656"/>
    <n v="4"/>
    <x v="1"/>
    <x v="29"/>
    <n v="3"/>
    <n v="2"/>
    <x v="0"/>
    <n v="3"/>
    <x v="1"/>
    <x v="468"/>
    <n v="3010"/>
    <n v="4"/>
    <s v="Y"/>
    <x v="0"/>
    <n v="11"/>
    <n v="3"/>
    <n v="3"/>
    <n v="80"/>
    <n v="1"/>
    <n v="17"/>
    <n v="3"/>
    <n v="2"/>
    <n v="3"/>
    <n v="0"/>
    <x v="1"/>
    <x v="2"/>
  </r>
  <r>
    <x v="35"/>
    <x v="1"/>
    <x v="0"/>
    <n v="959"/>
    <x v="1"/>
    <x v="0"/>
    <n v="3"/>
    <x v="0"/>
    <n v="1"/>
    <n v="657"/>
    <n v="4"/>
    <x v="0"/>
    <x v="21"/>
    <n v="2"/>
    <n v="1"/>
    <x v="1"/>
    <n v="2"/>
    <x v="0"/>
    <x v="469"/>
    <n v="11757"/>
    <n v="1"/>
    <s v="Y"/>
    <x v="1"/>
    <n v="13"/>
    <n v="3"/>
    <n v="4"/>
    <n v="80"/>
    <n v="0"/>
    <n v="1"/>
    <n v="0"/>
    <n v="4"/>
    <n v="1"/>
    <n v="0"/>
    <x v="0"/>
    <x v="2"/>
  </r>
  <r>
    <x v="19"/>
    <x v="1"/>
    <x v="0"/>
    <n v="622"/>
    <x v="1"/>
    <x v="2"/>
    <n v="4"/>
    <x v="0"/>
    <n v="1"/>
    <n v="659"/>
    <n v="3"/>
    <x v="0"/>
    <x v="6"/>
    <n v="3"/>
    <n v="2"/>
    <x v="4"/>
    <n v="4"/>
    <x v="1"/>
    <x v="470"/>
    <n v="5718"/>
    <n v="1"/>
    <s v="Y"/>
    <x v="1"/>
    <n v="13"/>
    <n v="3"/>
    <n v="2"/>
    <n v="80"/>
    <n v="2"/>
    <n v="10"/>
    <n v="4"/>
    <n v="3"/>
    <n v="10"/>
    <n v="2"/>
    <x v="3"/>
    <x v="3"/>
  </r>
  <r>
    <x v="23"/>
    <x v="1"/>
    <x v="0"/>
    <n v="782"/>
    <x v="1"/>
    <x v="16"/>
    <n v="4"/>
    <x v="1"/>
    <n v="1"/>
    <n v="661"/>
    <n v="2"/>
    <x v="1"/>
    <x v="13"/>
    <n v="2"/>
    <n v="4"/>
    <x v="7"/>
    <n v="4"/>
    <x v="2"/>
    <x v="471"/>
    <n v="2671"/>
    <n v="4"/>
    <s v="Y"/>
    <x v="0"/>
    <n v="14"/>
    <n v="3"/>
    <n v="3"/>
    <n v="80"/>
    <n v="1"/>
    <n v="21"/>
    <n v="3"/>
    <n v="2"/>
    <n v="1"/>
    <n v="0"/>
    <x v="0"/>
    <x v="2"/>
  </r>
  <r>
    <x v="8"/>
    <x v="1"/>
    <x v="0"/>
    <n v="362"/>
    <x v="1"/>
    <x v="0"/>
    <n v="1"/>
    <x v="0"/>
    <n v="1"/>
    <n v="662"/>
    <n v="3"/>
    <x v="0"/>
    <x v="38"/>
    <n v="3"/>
    <n v="1"/>
    <x v="1"/>
    <n v="1"/>
    <x v="0"/>
    <x v="472"/>
    <n v="14561"/>
    <n v="3"/>
    <s v="Y"/>
    <x v="1"/>
    <n v="17"/>
    <n v="3"/>
    <n v="4"/>
    <n v="80"/>
    <n v="0"/>
    <n v="8"/>
    <n v="3"/>
    <n v="2"/>
    <n v="0"/>
    <n v="0"/>
    <x v="0"/>
    <x v="2"/>
  </r>
  <r>
    <x v="23"/>
    <x v="1"/>
    <x v="1"/>
    <n v="1001"/>
    <x v="1"/>
    <x v="14"/>
    <n v="5"/>
    <x v="2"/>
    <n v="1"/>
    <n v="663"/>
    <n v="4"/>
    <x v="1"/>
    <x v="23"/>
    <n v="3"/>
    <n v="2"/>
    <x v="2"/>
    <n v="3"/>
    <x v="2"/>
    <x v="473"/>
    <n v="19627"/>
    <n v="3"/>
    <s v="Y"/>
    <x v="0"/>
    <n v="13"/>
    <n v="3"/>
    <n v="2"/>
    <n v="80"/>
    <n v="1"/>
    <n v="10"/>
    <n v="3"/>
    <n v="3"/>
    <n v="8"/>
    <n v="7"/>
    <x v="5"/>
    <x v="1"/>
  </r>
  <r>
    <x v="26"/>
    <x v="1"/>
    <x v="0"/>
    <n v="1236"/>
    <x v="1"/>
    <x v="0"/>
    <n v="4"/>
    <x v="0"/>
    <n v="1"/>
    <n v="664"/>
    <n v="4"/>
    <x v="0"/>
    <x v="4"/>
    <n v="2"/>
    <n v="4"/>
    <x v="5"/>
    <n v="1"/>
    <x v="1"/>
    <x v="474"/>
    <n v="17997"/>
    <n v="7"/>
    <s v="Y"/>
    <x v="1"/>
    <n v="11"/>
    <n v="3"/>
    <n v="1"/>
    <n v="80"/>
    <n v="1"/>
    <n v="21"/>
    <n v="3"/>
    <n v="1"/>
    <n v="3"/>
    <n v="2"/>
    <x v="0"/>
    <x v="3"/>
  </r>
  <r>
    <x v="20"/>
    <x v="1"/>
    <x v="0"/>
    <n v="1112"/>
    <x v="2"/>
    <x v="0"/>
    <n v="4"/>
    <x v="0"/>
    <n v="1"/>
    <n v="665"/>
    <n v="1"/>
    <x v="0"/>
    <x v="13"/>
    <n v="2"/>
    <n v="2"/>
    <x v="8"/>
    <n v="3"/>
    <x v="0"/>
    <x v="475"/>
    <n v="26894"/>
    <n v="4"/>
    <s v="Y"/>
    <x v="1"/>
    <n v="11"/>
    <n v="3"/>
    <n v="2"/>
    <n v="80"/>
    <n v="0"/>
    <n v="10"/>
    <n v="1"/>
    <n v="4"/>
    <n v="2"/>
    <n v="2"/>
    <x v="0"/>
    <x v="3"/>
  </r>
  <r>
    <x v="13"/>
    <x v="1"/>
    <x v="0"/>
    <n v="204"/>
    <x v="0"/>
    <x v="24"/>
    <n v="3"/>
    <x v="4"/>
    <n v="1"/>
    <n v="666"/>
    <n v="3"/>
    <x v="0"/>
    <x v="11"/>
    <n v="3"/>
    <n v="1"/>
    <x v="6"/>
    <n v="3"/>
    <x v="2"/>
    <x v="476"/>
    <n v="2912"/>
    <n v="1"/>
    <s v="Y"/>
    <x v="0"/>
    <n v="18"/>
    <n v="3"/>
    <n v="4"/>
    <n v="80"/>
    <n v="2"/>
    <n v="8"/>
    <n v="3"/>
    <n v="3"/>
    <n v="8"/>
    <n v="2"/>
    <x v="0"/>
    <x v="4"/>
  </r>
  <r>
    <x v="4"/>
    <x v="0"/>
    <x v="0"/>
    <n v="1420"/>
    <x v="0"/>
    <x v="2"/>
    <n v="1"/>
    <x v="3"/>
    <n v="1"/>
    <n v="667"/>
    <n v="3"/>
    <x v="1"/>
    <x v="65"/>
    <n v="3"/>
    <n v="1"/>
    <x v="6"/>
    <n v="1"/>
    <x v="2"/>
    <x v="477"/>
    <n v="16346"/>
    <n v="0"/>
    <s v="Y"/>
    <x v="1"/>
    <n v="11"/>
    <n v="3"/>
    <n v="2"/>
    <n v="80"/>
    <n v="1"/>
    <n v="5"/>
    <n v="3"/>
    <n v="3"/>
    <n v="4"/>
    <n v="3"/>
    <x v="0"/>
    <x v="3"/>
  </r>
  <r>
    <x v="18"/>
    <x v="1"/>
    <x v="0"/>
    <n v="1343"/>
    <x v="0"/>
    <x v="23"/>
    <n v="1"/>
    <x v="4"/>
    <n v="1"/>
    <n v="669"/>
    <n v="3"/>
    <x v="1"/>
    <x v="10"/>
    <n v="3"/>
    <n v="1"/>
    <x v="6"/>
    <n v="3"/>
    <x v="0"/>
    <x v="478"/>
    <n v="24444"/>
    <n v="1"/>
    <s v="Y"/>
    <x v="1"/>
    <n v="11"/>
    <n v="3"/>
    <n v="3"/>
    <n v="80"/>
    <n v="0"/>
    <n v="3"/>
    <n v="2"/>
    <n v="3"/>
    <n v="3"/>
    <n v="2"/>
    <x v="1"/>
    <x v="3"/>
  </r>
  <r>
    <x v="20"/>
    <x v="1"/>
    <x v="0"/>
    <n v="1315"/>
    <x v="1"/>
    <x v="3"/>
    <n v="4"/>
    <x v="1"/>
    <n v="1"/>
    <n v="671"/>
    <n v="4"/>
    <x v="1"/>
    <x v="58"/>
    <n v="3"/>
    <n v="5"/>
    <x v="5"/>
    <n v="4"/>
    <x v="1"/>
    <x v="479"/>
    <n v="9358"/>
    <n v="4"/>
    <s v="Y"/>
    <x v="0"/>
    <n v="12"/>
    <n v="3"/>
    <n v="1"/>
    <n v="80"/>
    <n v="1"/>
    <n v="26"/>
    <n v="2"/>
    <n v="4"/>
    <n v="2"/>
    <n v="2"/>
    <x v="0"/>
    <x v="9"/>
  </r>
  <r>
    <x v="15"/>
    <x v="1"/>
    <x v="0"/>
    <n v="604"/>
    <x v="1"/>
    <x v="16"/>
    <n v="1"/>
    <x v="2"/>
    <n v="1"/>
    <n v="675"/>
    <n v="1"/>
    <x v="1"/>
    <x v="68"/>
    <n v="3"/>
    <n v="1"/>
    <x v="1"/>
    <n v="3"/>
    <x v="1"/>
    <x v="480"/>
    <n v="12145"/>
    <n v="0"/>
    <s v="Y"/>
    <x v="1"/>
    <n v="20"/>
    <n v="4"/>
    <n v="4"/>
    <n v="80"/>
    <n v="0"/>
    <n v="3"/>
    <n v="3"/>
    <n v="3"/>
    <n v="2"/>
    <n v="2"/>
    <x v="3"/>
    <x v="3"/>
  </r>
  <r>
    <x v="3"/>
    <x v="1"/>
    <x v="0"/>
    <n v="1216"/>
    <x v="0"/>
    <x v="1"/>
    <n v="4"/>
    <x v="3"/>
    <n v="1"/>
    <n v="677"/>
    <n v="3"/>
    <x v="1"/>
    <x v="56"/>
    <n v="3"/>
    <n v="2"/>
    <x v="0"/>
    <n v="3"/>
    <x v="2"/>
    <x v="481"/>
    <n v="20431"/>
    <n v="0"/>
    <s v="Y"/>
    <x v="1"/>
    <n v="12"/>
    <n v="3"/>
    <n v="4"/>
    <n v="80"/>
    <n v="0"/>
    <n v="6"/>
    <n v="3"/>
    <n v="3"/>
    <n v="5"/>
    <n v="0"/>
    <x v="1"/>
    <x v="3"/>
  </r>
  <r>
    <x v="5"/>
    <x v="1"/>
    <x v="0"/>
    <n v="646"/>
    <x v="1"/>
    <x v="14"/>
    <n v="4"/>
    <x v="0"/>
    <n v="1"/>
    <n v="679"/>
    <n v="1"/>
    <x v="0"/>
    <x v="2"/>
    <n v="3"/>
    <n v="2"/>
    <x v="1"/>
    <n v="4"/>
    <x v="1"/>
    <x v="482"/>
    <n v="18089"/>
    <n v="1"/>
    <s v="Y"/>
    <x v="0"/>
    <n v="12"/>
    <n v="3"/>
    <n v="4"/>
    <n v="80"/>
    <n v="1"/>
    <n v="6"/>
    <n v="2"/>
    <n v="2"/>
    <n v="6"/>
    <n v="4"/>
    <x v="0"/>
    <x v="0"/>
  </r>
  <r>
    <x v="7"/>
    <x v="1"/>
    <x v="1"/>
    <n v="160"/>
    <x v="1"/>
    <x v="3"/>
    <n v="3"/>
    <x v="2"/>
    <n v="1"/>
    <n v="680"/>
    <n v="3"/>
    <x v="0"/>
    <x v="36"/>
    <n v="3"/>
    <n v="1"/>
    <x v="1"/>
    <n v="3"/>
    <x v="2"/>
    <x v="483"/>
    <n v="22653"/>
    <n v="1"/>
    <s v="Y"/>
    <x v="1"/>
    <n v="20"/>
    <n v="4"/>
    <n v="3"/>
    <n v="80"/>
    <n v="1"/>
    <n v="1"/>
    <n v="2"/>
    <n v="3"/>
    <n v="1"/>
    <n v="0"/>
    <x v="0"/>
    <x v="2"/>
  </r>
  <r>
    <x v="16"/>
    <x v="1"/>
    <x v="0"/>
    <n v="238"/>
    <x v="0"/>
    <x v="0"/>
    <n v="1"/>
    <x v="2"/>
    <n v="1"/>
    <n v="682"/>
    <n v="4"/>
    <x v="0"/>
    <x v="61"/>
    <n v="3"/>
    <n v="2"/>
    <x v="0"/>
    <n v="1"/>
    <x v="0"/>
    <x v="484"/>
    <n v="7507"/>
    <n v="7"/>
    <s v="Y"/>
    <x v="1"/>
    <n v="20"/>
    <n v="4"/>
    <n v="4"/>
    <n v="80"/>
    <n v="0"/>
    <n v="18"/>
    <n v="2"/>
    <n v="4"/>
    <n v="14"/>
    <n v="7"/>
    <x v="6"/>
    <x v="13"/>
  </r>
  <r>
    <x v="13"/>
    <x v="1"/>
    <x v="0"/>
    <n v="1397"/>
    <x v="1"/>
    <x v="0"/>
    <n v="5"/>
    <x v="0"/>
    <n v="1"/>
    <n v="683"/>
    <n v="2"/>
    <x v="1"/>
    <x v="25"/>
    <n v="3"/>
    <n v="1"/>
    <x v="1"/>
    <n v="4"/>
    <x v="1"/>
    <x v="485"/>
    <n v="7660"/>
    <n v="1"/>
    <s v="Y"/>
    <x v="1"/>
    <n v="12"/>
    <n v="3"/>
    <n v="4"/>
    <n v="80"/>
    <n v="1"/>
    <n v="10"/>
    <n v="4"/>
    <n v="2"/>
    <n v="10"/>
    <n v="9"/>
    <x v="6"/>
    <x v="5"/>
  </r>
  <r>
    <x v="28"/>
    <x v="0"/>
    <x v="1"/>
    <n v="306"/>
    <x v="0"/>
    <x v="9"/>
    <n v="4"/>
    <x v="0"/>
    <n v="1"/>
    <n v="684"/>
    <n v="1"/>
    <x v="0"/>
    <x v="54"/>
    <n v="3"/>
    <n v="2"/>
    <x v="0"/>
    <n v="1"/>
    <x v="1"/>
    <x v="486"/>
    <n v="5630"/>
    <n v="2"/>
    <s v="Y"/>
    <x v="1"/>
    <n v="14"/>
    <n v="3"/>
    <n v="4"/>
    <n v="80"/>
    <n v="2"/>
    <n v="5"/>
    <n v="4"/>
    <n v="3"/>
    <n v="1"/>
    <n v="1"/>
    <x v="0"/>
    <x v="2"/>
  </r>
  <r>
    <x v="25"/>
    <x v="1"/>
    <x v="0"/>
    <n v="991"/>
    <x v="1"/>
    <x v="16"/>
    <n v="3"/>
    <x v="0"/>
    <n v="1"/>
    <n v="686"/>
    <n v="3"/>
    <x v="0"/>
    <x v="36"/>
    <n v="3"/>
    <n v="1"/>
    <x v="2"/>
    <n v="4"/>
    <x v="1"/>
    <x v="487"/>
    <n v="17759"/>
    <n v="1"/>
    <s v="Y"/>
    <x v="0"/>
    <n v="13"/>
    <n v="3"/>
    <n v="3"/>
    <n v="80"/>
    <n v="1"/>
    <n v="3"/>
    <n v="2"/>
    <n v="3"/>
    <n v="3"/>
    <n v="2"/>
    <x v="0"/>
    <x v="3"/>
  </r>
  <r>
    <x v="2"/>
    <x v="1"/>
    <x v="0"/>
    <n v="482"/>
    <x v="1"/>
    <x v="3"/>
    <n v="3"/>
    <x v="1"/>
    <n v="1"/>
    <n v="689"/>
    <n v="3"/>
    <x v="1"/>
    <x v="34"/>
    <n v="3"/>
    <n v="3"/>
    <x v="3"/>
    <n v="3"/>
    <x v="1"/>
    <x v="488"/>
    <n v="9606"/>
    <n v="1"/>
    <s v="Y"/>
    <x v="1"/>
    <n v="15"/>
    <n v="3"/>
    <n v="3"/>
    <n v="80"/>
    <n v="1"/>
    <n v="10"/>
    <n v="2"/>
    <n v="3"/>
    <n v="10"/>
    <n v="7"/>
    <x v="4"/>
    <x v="5"/>
  </r>
  <r>
    <x v="11"/>
    <x v="1"/>
    <x v="0"/>
    <n v="1176"/>
    <x v="0"/>
    <x v="3"/>
    <n v="2"/>
    <x v="2"/>
    <n v="1"/>
    <n v="690"/>
    <n v="2"/>
    <x v="0"/>
    <x v="50"/>
    <n v="3"/>
    <n v="2"/>
    <x v="0"/>
    <n v="3"/>
    <x v="1"/>
    <x v="489"/>
    <n v="3487"/>
    <n v="1"/>
    <s v="Y"/>
    <x v="1"/>
    <n v="14"/>
    <n v="3"/>
    <n v="1"/>
    <n v="80"/>
    <n v="1"/>
    <n v="6"/>
    <n v="5"/>
    <n v="2"/>
    <n v="6"/>
    <n v="0"/>
    <x v="1"/>
    <x v="3"/>
  </r>
  <r>
    <x v="10"/>
    <x v="1"/>
    <x v="0"/>
    <n v="1017"/>
    <x v="1"/>
    <x v="16"/>
    <n v="4"/>
    <x v="0"/>
    <n v="1"/>
    <n v="691"/>
    <n v="2"/>
    <x v="1"/>
    <x v="19"/>
    <n v="1"/>
    <n v="2"/>
    <x v="1"/>
    <n v="4"/>
    <x v="0"/>
    <x v="490"/>
    <n v="19368"/>
    <n v="1"/>
    <s v="Y"/>
    <x v="1"/>
    <n v="13"/>
    <n v="3"/>
    <n v="2"/>
    <n v="80"/>
    <n v="0"/>
    <n v="17"/>
    <n v="3"/>
    <n v="3"/>
    <n v="17"/>
    <n v="11"/>
    <x v="14"/>
    <x v="5"/>
  </r>
  <r>
    <x v="3"/>
    <x v="1"/>
    <x v="1"/>
    <n v="1296"/>
    <x v="1"/>
    <x v="16"/>
    <n v="3"/>
    <x v="0"/>
    <n v="1"/>
    <n v="692"/>
    <n v="3"/>
    <x v="1"/>
    <x v="37"/>
    <n v="3"/>
    <n v="2"/>
    <x v="4"/>
    <n v="4"/>
    <x v="2"/>
    <x v="491"/>
    <n v="5335"/>
    <n v="3"/>
    <s v="Y"/>
    <x v="1"/>
    <n v="23"/>
    <n v="4"/>
    <n v="3"/>
    <n v="80"/>
    <n v="1"/>
    <n v="15"/>
    <n v="2"/>
    <n v="1"/>
    <n v="13"/>
    <n v="11"/>
    <x v="5"/>
    <x v="1"/>
  </r>
  <r>
    <x v="33"/>
    <x v="1"/>
    <x v="0"/>
    <n v="397"/>
    <x v="2"/>
    <x v="10"/>
    <n v="4"/>
    <x v="2"/>
    <n v="1"/>
    <n v="698"/>
    <n v="3"/>
    <x v="1"/>
    <x v="64"/>
    <n v="3"/>
    <n v="3"/>
    <x v="8"/>
    <n v="2"/>
    <x v="1"/>
    <x v="492"/>
    <n v="6729"/>
    <n v="2"/>
    <s v="Y"/>
    <x v="1"/>
    <n v="15"/>
    <n v="3"/>
    <n v="3"/>
    <n v="80"/>
    <n v="1"/>
    <n v="16"/>
    <n v="1"/>
    <n v="4"/>
    <n v="9"/>
    <n v="7"/>
    <x v="4"/>
    <x v="9"/>
  </r>
  <r>
    <x v="9"/>
    <x v="1"/>
    <x v="0"/>
    <n v="913"/>
    <x v="1"/>
    <x v="14"/>
    <n v="2"/>
    <x v="2"/>
    <n v="1"/>
    <n v="699"/>
    <n v="2"/>
    <x v="1"/>
    <x v="24"/>
    <n v="2"/>
    <n v="2"/>
    <x v="3"/>
    <n v="2"/>
    <x v="2"/>
    <x v="493"/>
    <n v="13934"/>
    <n v="2"/>
    <s v="Y"/>
    <x v="0"/>
    <n v="11"/>
    <n v="3"/>
    <n v="3"/>
    <n v="80"/>
    <n v="1"/>
    <n v="13"/>
    <n v="2"/>
    <n v="3"/>
    <n v="3"/>
    <n v="2"/>
    <x v="0"/>
    <x v="3"/>
  </r>
  <r>
    <x v="4"/>
    <x v="1"/>
    <x v="0"/>
    <n v="1115"/>
    <x v="1"/>
    <x v="3"/>
    <n v="4"/>
    <x v="2"/>
    <n v="1"/>
    <n v="700"/>
    <n v="1"/>
    <x v="1"/>
    <x v="60"/>
    <n v="2"/>
    <n v="1"/>
    <x v="1"/>
    <n v="4"/>
    <x v="0"/>
    <x v="494"/>
    <n v="15174"/>
    <n v="0"/>
    <s v="Y"/>
    <x v="1"/>
    <n v="13"/>
    <n v="3"/>
    <n v="4"/>
    <n v="80"/>
    <n v="0"/>
    <n v="5"/>
    <n v="0"/>
    <n v="3"/>
    <n v="4"/>
    <n v="2"/>
    <x v="1"/>
    <x v="9"/>
  </r>
  <r>
    <x v="35"/>
    <x v="0"/>
    <x v="0"/>
    <n v="1362"/>
    <x v="1"/>
    <x v="17"/>
    <n v="1"/>
    <x v="2"/>
    <n v="1"/>
    <n v="701"/>
    <n v="4"/>
    <x v="1"/>
    <x v="47"/>
    <n v="3"/>
    <n v="1"/>
    <x v="1"/>
    <n v="3"/>
    <x v="0"/>
    <x v="495"/>
    <n v="26999"/>
    <n v="1"/>
    <s v="Y"/>
    <x v="0"/>
    <n v="11"/>
    <n v="3"/>
    <n v="4"/>
    <n v="80"/>
    <n v="0"/>
    <n v="1"/>
    <n v="5"/>
    <n v="3"/>
    <n v="1"/>
    <n v="0"/>
    <x v="1"/>
    <x v="9"/>
  </r>
  <r>
    <x v="3"/>
    <x v="0"/>
    <x v="1"/>
    <n v="1076"/>
    <x v="1"/>
    <x v="3"/>
    <n v="3"/>
    <x v="0"/>
    <n v="1"/>
    <n v="702"/>
    <n v="1"/>
    <x v="1"/>
    <x v="49"/>
    <n v="3"/>
    <n v="1"/>
    <x v="1"/>
    <n v="1"/>
    <x v="0"/>
    <x v="496"/>
    <n v="3164"/>
    <n v="1"/>
    <s v="Y"/>
    <x v="0"/>
    <n v="11"/>
    <n v="3"/>
    <n v="1"/>
    <n v="80"/>
    <n v="0"/>
    <n v="10"/>
    <n v="3"/>
    <n v="3"/>
    <n v="10"/>
    <n v="8"/>
    <x v="10"/>
    <x v="1"/>
  </r>
  <r>
    <x v="10"/>
    <x v="1"/>
    <x v="2"/>
    <n v="727"/>
    <x v="1"/>
    <x v="3"/>
    <n v="3"/>
    <x v="0"/>
    <n v="1"/>
    <n v="704"/>
    <n v="3"/>
    <x v="1"/>
    <x v="26"/>
    <n v="2"/>
    <n v="1"/>
    <x v="2"/>
    <n v="3"/>
    <x v="1"/>
    <x v="497"/>
    <n v="16900"/>
    <n v="1"/>
    <s v="Y"/>
    <x v="1"/>
    <n v="18"/>
    <n v="3"/>
    <n v="3"/>
    <n v="80"/>
    <n v="2"/>
    <n v="1"/>
    <n v="3"/>
    <n v="3"/>
    <n v="1"/>
    <n v="0"/>
    <x v="0"/>
    <x v="2"/>
  </r>
  <r>
    <x v="30"/>
    <x v="1"/>
    <x v="0"/>
    <n v="885"/>
    <x v="1"/>
    <x v="18"/>
    <n v="3"/>
    <x v="2"/>
    <n v="1"/>
    <n v="705"/>
    <n v="1"/>
    <x v="1"/>
    <x v="22"/>
    <n v="4"/>
    <n v="1"/>
    <x v="1"/>
    <n v="1"/>
    <x v="1"/>
    <x v="498"/>
    <n v="8544"/>
    <n v="2"/>
    <s v="Y"/>
    <x v="1"/>
    <n v="16"/>
    <n v="3"/>
    <n v="1"/>
    <n v="80"/>
    <n v="1"/>
    <n v="5"/>
    <n v="3"/>
    <n v="4"/>
    <n v="3"/>
    <n v="2"/>
    <x v="0"/>
    <x v="3"/>
  </r>
  <r>
    <x v="36"/>
    <x v="1"/>
    <x v="0"/>
    <n v="810"/>
    <x v="0"/>
    <x v="1"/>
    <n v="3"/>
    <x v="0"/>
    <n v="1"/>
    <n v="707"/>
    <n v="4"/>
    <x v="1"/>
    <x v="42"/>
    <n v="4"/>
    <n v="2"/>
    <x v="0"/>
    <n v="2"/>
    <x v="1"/>
    <x v="499"/>
    <n v="15678"/>
    <n v="0"/>
    <s v="Y"/>
    <x v="1"/>
    <n v="22"/>
    <n v="4"/>
    <n v="3"/>
    <n v="80"/>
    <n v="1"/>
    <n v="4"/>
    <n v="4"/>
    <n v="3"/>
    <n v="3"/>
    <n v="2"/>
    <x v="1"/>
    <x v="3"/>
  </r>
  <r>
    <x v="8"/>
    <x v="1"/>
    <x v="0"/>
    <n v="243"/>
    <x v="0"/>
    <x v="15"/>
    <n v="4"/>
    <x v="3"/>
    <n v="1"/>
    <n v="709"/>
    <n v="4"/>
    <x v="0"/>
    <x v="55"/>
    <n v="2"/>
    <n v="2"/>
    <x v="0"/>
    <n v="4"/>
    <x v="0"/>
    <x v="500"/>
    <n v="7791"/>
    <n v="0"/>
    <s v="Y"/>
    <x v="1"/>
    <n v="20"/>
    <n v="4"/>
    <n v="1"/>
    <n v="80"/>
    <n v="0"/>
    <n v="8"/>
    <n v="2"/>
    <n v="3"/>
    <n v="7"/>
    <n v="7"/>
    <x v="0"/>
    <x v="0"/>
  </r>
  <r>
    <x v="11"/>
    <x v="1"/>
    <x v="1"/>
    <n v="806"/>
    <x v="1"/>
    <x v="0"/>
    <n v="4"/>
    <x v="0"/>
    <n v="1"/>
    <n v="710"/>
    <n v="2"/>
    <x v="1"/>
    <x v="43"/>
    <n v="1"/>
    <n v="1"/>
    <x v="1"/>
    <n v="4"/>
    <x v="2"/>
    <x v="143"/>
    <n v="18959"/>
    <n v="1"/>
    <s v="Y"/>
    <x v="1"/>
    <n v="18"/>
    <n v="3"/>
    <n v="4"/>
    <n v="80"/>
    <n v="1"/>
    <n v="10"/>
    <n v="5"/>
    <n v="3"/>
    <n v="10"/>
    <n v="7"/>
    <x v="3"/>
    <x v="5"/>
  </r>
  <r>
    <x v="26"/>
    <x v="1"/>
    <x v="0"/>
    <n v="817"/>
    <x v="0"/>
    <x v="2"/>
    <n v="1"/>
    <x v="3"/>
    <n v="1"/>
    <n v="712"/>
    <n v="2"/>
    <x v="1"/>
    <x v="3"/>
    <n v="4"/>
    <n v="2"/>
    <x v="0"/>
    <n v="2"/>
    <x v="1"/>
    <x v="501"/>
    <n v="18597"/>
    <n v="3"/>
    <s v="Y"/>
    <x v="1"/>
    <n v="12"/>
    <n v="3"/>
    <n v="4"/>
    <n v="80"/>
    <n v="0"/>
    <n v="12"/>
    <n v="3"/>
    <n v="3"/>
    <n v="2"/>
    <n v="2"/>
    <x v="3"/>
    <x v="3"/>
  </r>
  <r>
    <x v="4"/>
    <x v="1"/>
    <x v="1"/>
    <n v="1410"/>
    <x v="0"/>
    <x v="3"/>
    <n v="1"/>
    <x v="2"/>
    <n v="1"/>
    <n v="714"/>
    <n v="4"/>
    <x v="0"/>
    <x v="36"/>
    <n v="4"/>
    <n v="2"/>
    <x v="0"/>
    <n v="4"/>
    <x v="2"/>
    <x v="502"/>
    <n v="16673"/>
    <n v="1"/>
    <s v="Y"/>
    <x v="0"/>
    <n v="20"/>
    <n v="4"/>
    <n v="2"/>
    <n v="80"/>
    <n v="2"/>
    <n v="6"/>
    <n v="3"/>
    <n v="3"/>
    <n v="6"/>
    <n v="5"/>
    <x v="0"/>
    <x v="10"/>
  </r>
  <r>
    <x v="2"/>
    <x v="1"/>
    <x v="0"/>
    <n v="1225"/>
    <x v="1"/>
    <x v="17"/>
    <n v="2"/>
    <x v="0"/>
    <n v="1"/>
    <n v="715"/>
    <n v="4"/>
    <x v="1"/>
    <x v="15"/>
    <n v="4"/>
    <n v="1"/>
    <x v="1"/>
    <n v="4"/>
    <x v="0"/>
    <x v="503"/>
    <n v="15232"/>
    <n v="3"/>
    <s v="Y"/>
    <x v="1"/>
    <n v="17"/>
    <n v="3"/>
    <n v="1"/>
    <n v="80"/>
    <n v="0"/>
    <n v="4"/>
    <n v="2"/>
    <n v="3"/>
    <n v="1"/>
    <n v="0"/>
    <x v="0"/>
    <x v="2"/>
  </r>
  <r>
    <x v="24"/>
    <x v="1"/>
    <x v="0"/>
    <n v="1207"/>
    <x v="1"/>
    <x v="26"/>
    <n v="1"/>
    <x v="2"/>
    <n v="1"/>
    <n v="716"/>
    <n v="4"/>
    <x v="1"/>
    <x v="69"/>
    <n v="4"/>
    <n v="1"/>
    <x v="2"/>
    <n v="3"/>
    <x v="1"/>
    <x v="504"/>
    <n v="3297"/>
    <n v="1"/>
    <s v="Y"/>
    <x v="0"/>
    <n v="11"/>
    <n v="3"/>
    <n v="3"/>
    <n v="80"/>
    <n v="3"/>
    <n v="20"/>
    <n v="3"/>
    <n v="3"/>
    <n v="20"/>
    <n v="8"/>
    <x v="2"/>
    <x v="5"/>
  </r>
  <r>
    <x v="13"/>
    <x v="1"/>
    <x v="0"/>
    <n v="1442"/>
    <x v="1"/>
    <x v="14"/>
    <n v="3"/>
    <x v="2"/>
    <n v="1"/>
    <n v="717"/>
    <n v="4"/>
    <x v="0"/>
    <x v="55"/>
    <n v="2"/>
    <n v="3"/>
    <x v="4"/>
    <n v="2"/>
    <x v="0"/>
    <x v="505"/>
    <n v="17654"/>
    <n v="1"/>
    <s v="Y"/>
    <x v="1"/>
    <n v="14"/>
    <n v="3"/>
    <n v="2"/>
    <n v="80"/>
    <n v="0"/>
    <n v="9"/>
    <n v="3"/>
    <n v="4"/>
    <n v="8"/>
    <n v="7"/>
    <x v="4"/>
    <x v="1"/>
  </r>
  <r>
    <x v="17"/>
    <x v="0"/>
    <x v="0"/>
    <n v="693"/>
    <x v="0"/>
    <x v="3"/>
    <n v="2"/>
    <x v="0"/>
    <n v="1"/>
    <n v="720"/>
    <n v="1"/>
    <x v="0"/>
    <x v="63"/>
    <n v="3"/>
    <n v="2"/>
    <x v="0"/>
    <n v="3"/>
    <x v="0"/>
    <x v="506"/>
    <n v="24785"/>
    <n v="9"/>
    <s v="Y"/>
    <x v="1"/>
    <n v="14"/>
    <n v="3"/>
    <n v="1"/>
    <n v="80"/>
    <n v="0"/>
    <n v="4"/>
    <n v="3"/>
    <n v="3"/>
    <n v="2"/>
    <n v="2"/>
    <x v="3"/>
    <x v="2"/>
  </r>
  <r>
    <x v="22"/>
    <x v="1"/>
    <x v="0"/>
    <n v="408"/>
    <x v="1"/>
    <x v="2"/>
    <n v="4"/>
    <x v="4"/>
    <n v="1"/>
    <n v="721"/>
    <n v="4"/>
    <x v="0"/>
    <x v="15"/>
    <n v="2"/>
    <n v="2"/>
    <x v="4"/>
    <n v="3"/>
    <x v="0"/>
    <x v="507"/>
    <n v="20978"/>
    <n v="1"/>
    <s v="Y"/>
    <x v="1"/>
    <n v="11"/>
    <n v="3"/>
    <n v="1"/>
    <n v="80"/>
    <n v="0"/>
    <n v="20"/>
    <n v="4"/>
    <n v="3"/>
    <n v="20"/>
    <n v="7"/>
    <x v="14"/>
    <x v="13"/>
  </r>
  <r>
    <x v="5"/>
    <x v="1"/>
    <x v="0"/>
    <n v="929"/>
    <x v="0"/>
    <x v="17"/>
    <n v="3"/>
    <x v="3"/>
    <n v="1"/>
    <n v="722"/>
    <n v="4"/>
    <x v="1"/>
    <x v="46"/>
    <n v="3"/>
    <n v="2"/>
    <x v="0"/>
    <n v="4"/>
    <x v="0"/>
    <x v="508"/>
    <n v="21703"/>
    <n v="1"/>
    <s v="Y"/>
    <x v="1"/>
    <n v="12"/>
    <n v="3"/>
    <n v="4"/>
    <n v="80"/>
    <n v="0"/>
    <n v="10"/>
    <n v="2"/>
    <n v="2"/>
    <n v="10"/>
    <n v="7"/>
    <x v="0"/>
    <x v="5"/>
  </r>
  <r>
    <x v="24"/>
    <x v="0"/>
    <x v="1"/>
    <n v="562"/>
    <x v="0"/>
    <x v="1"/>
    <n v="2"/>
    <x v="4"/>
    <n v="1"/>
    <n v="723"/>
    <n v="2"/>
    <x v="1"/>
    <x v="13"/>
    <n v="3"/>
    <n v="2"/>
    <x v="0"/>
    <n v="3"/>
    <x v="1"/>
    <x v="509"/>
    <n v="23452"/>
    <n v="3"/>
    <s v="Y"/>
    <x v="0"/>
    <n v="14"/>
    <n v="3"/>
    <n v="1"/>
    <n v="80"/>
    <n v="1"/>
    <n v="18"/>
    <n v="4"/>
    <n v="3"/>
    <n v="4"/>
    <n v="3"/>
    <x v="1"/>
    <x v="6"/>
  </r>
  <r>
    <x v="8"/>
    <x v="1"/>
    <x v="0"/>
    <n v="827"/>
    <x v="1"/>
    <x v="0"/>
    <n v="4"/>
    <x v="0"/>
    <n v="1"/>
    <n v="724"/>
    <n v="2"/>
    <x v="0"/>
    <x v="30"/>
    <n v="4"/>
    <n v="2"/>
    <x v="4"/>
    <n v="4"/>
    <x v="0"/>
    <x v="510"/>
    <n v="19383"/>
    <n v="0"/>
    <s v="Y"/>
    <x v="1"/>
    <n v="13"/>
    <n v="3"/>
    <n v="3"/>
    <n v="80"/>
    <n v="0"/>
    <n v="10"/>
    <n v="4"/>
    <n v="2"/>
    <n v="9"/>
    <n v="7"/>
    <x v="1"/>
    <x v="5"/>
  </r>
  <r>
    <x v="4"/>
    <x v="1"/>
    <x v="0"/>
    <n v="608"/>
    <x v="1"/>
    <x v="0"/>
    <n v="2"/>
    <x v="0"/>
    <n v="1"/>
    <n v="725"/>
    <n v="3"/>
    <x v="0"/>
    <x v="67"/>
    <n v="3"/>
    <n v="3"/>
    <x v="3"/>
    <n v="1"/>
    <x v="1"/>
    <x v="511"/>
    <n v="6009"/>
    <n v="1"/>
    <s v="Y"/>
    <x v="1"/>
    <n v="11"/>
    <n v="3"/>
    <n v="4"/>
    <n v="80"/>
    <n v="0"/>
    <n v="9"/>
    <n v="3"/>
    <n v="3"/>
    <n v="9"/>
    <n v="7"/>
    <x v="0"/>
    <x v="1"/>
  </r>
  <r>
    <x v="5"/>
    <x v="1"/>
    <x v="0"/>
    <n v="1018"/>
    <x v="1"/>
    <x v="3"/>
    <n v="2"/>
    <x v="0"/>
    <n v="1"/>
    <n v="727"/>
    <n v="3"/>
    <x v="0"/>
    <x v="56"/>
    <n v="3"/>
    <n v="3"/>
    <x v="7"/>
    <n v="4"/>
    <x v="0"/>
    <x v="512"/>
    <n v="19373"/>
    <n v="3"/>
    <s v="Y"/>
    <x v="1"/>
    <n v="15"/>
    <n v="3"/>
    <n v="4"/>
    <n v="80"/>
    <n v="0"/>
    <n v="10"/>
    <n v="6"/>
    <n v="3"/>
    <n v="7"/>
    <n v="7"/>
    <x v="4"/>
    <x v="1"/>
  </r>
  <r>
    <x v="40"/>
    <x v="1"/>
    <x v="0"/>
    <n v="703"/>
    <x v="0"/>
    <x v="24"/>
    <n v="4"/>
    <x v="3"/>
    <n v="1"/>
    <n v="728"/>
    <n v="4"/>
    <x v="1"/>
    <x v="25"/>
    <n v="3"/>
    <n v="2"/>
    <x v="0"/>
    <n v="1"/>
    <x v="0"/>
    <x v="513"/>
    <n v="11825"/>
    <n v="2"/>
    <s v="Y"/>
    <x v="1"/>
    <n v="12"/>
    <n v="3"/>
    <n v="4"/>
    <n v="80"/>
    <n v="0"/>
    <n v="20"/>
    <n v="2"/>
    <n v="3"/>
    <n v="7"/>
    <n v="7"/>
    <x v="1"/>
    <x v="1"/>
  </r>
  <r>
    <x v="32"/>
    <x v="1"/>
    <x v="1"/>
    <n v="580"/>
    <x v="0"/>
    <x v="12"/>
    <n v="4"/>
    <x v="0"/>
    <n v="1"/>
    <n v="729"/>
    <n v="4"/>
    <x v="1"/>
    <x v="24"/>
    <n v="2"/>
    <n v="3"/>
    <x v="0"/>
    <n v="1"/>
    <x v="1"/>
    <x v="514"/>
    <n v="23772"/>
    <n v="5"/>
    <s v="Y"/>
    <x v="0"/>
    <n v="21"/>
    <n v="4"/>
    <n v="3"/>
    <n v="80"/>
    <n v="1"/>
    <n v="20"/>
    <n v="2"/>
    <n v="3"/>
    <n v="18"/>
    <n v="13"/>
    <x v="1"/>
    <x v="11"/>
  </r>
  <r>
    <x v="16"/>
    <x v="1"/>
    <x v="0"/>
    <n v="970"/>
    <x v="1"/>
    <x v="15"/>
    <n v="3"/>
    <x v="0"/>
    <n v="1"/>
    <n v="730"/>
    <n v="3"/>
    <x v="1"/>
    <x v="40"/>
    <n v="4"/>
    <n v="4"/>
    <x v="7"/>
    <n v="3"/>
    <x v="1"/>
    <x v="515"/>
    <n v="13514"/>
    <n v="3"/>
    <s v="Y"/>
    <x v="1"/>
    <n v="19"/>
    <n v="3"/>
    <n v="3"/>
    <n v="80"/>
    <n v="0"/>
    <n v="32"/>
    <n v="3"/>
    <n v="3"/>
    <n v="5"/>
    <n v="1"/>
    <x v="1"/>
    <x v="6"/>
  </r>
  <r>
    <x v="0"/>
    <x v="1"/>
    <x v="0"/>
    <n v="427"/>
    <x v="2"/>
    <x v="17"/>
    <n v="4"/>
    <x v="5"/>
    <n v="1"/>
    <n v="731"/>
    <n v="2"/>
    <x v="1"/>
    <x v="32"/>
    <n v="2"/>
    <n v="5"/>
    <x v="5"/>
    <n v="4"/>
    <x v="2"/>
    <x v="516"/>
    <n v="8861"/>
    <n v="3"/>
    <s v="Y"/>
    <x v="1"/>
    <n v="15"/>
    <n v="3"/>
    <n v="2"/>
    <n v="80"/>
    <n v="3"/>
    <n v="23"/>
    <n v="2"/>
    <n v="2"/>
    <n v="21"/>
    <n v="6"/>
    <x v="12"/>
    <x v="4"/>
  </r>
  <r>
    <x v="42"/>
    <x v="1"/>
    <x v="0"/>
    <n v="1179"/>
    <x v="0"/>
    <x v="7"/>
    <n v="4"/>
    <x v="3"/>
    <n v="1"/>
    <n v="732"/>
    <n v="1"/>
    <x v="1"/>
    <x v="9"/>
    <n v="3"/>
    <n v="2"/>
    <x v="0"/>
    <n v="1"/>
    <x v="0"/>
    <x v="517"/>
    <n v="11924"/>
    <n v="8"/>
    <s v="Y"/>
    <x v="1"/>
    <n v="14"/>
    <n v="3"/>
    <n v="4"/>
    <n v="80"/>
    <n v="0"/>
    <n v="10"/>
    <n v="1"/>
    <n v="3"/>
    <n v="2"/>
    <n v="2"/>
    <x v="3"/>
    <x v="3"/>
  </r>
  <r>
    <x v="4"/>
    <x v="1"/>
    <x v="1"/>
    <n v="294"/>
    <x v="1"/>
    <x v="17"/>
    <n v="2"/>
    <x v="0"/>
    <n v="1"/>
    <n v="733"/>
    <n v="4"/>
    <x v="1"/>
    <x v="47"/>
    <n v="3"/>
    <n v="3"/>
    <x v="3"/>
    <n v="1"/>
    <x v="2"/>
    <x v="518"/>
    <n v="4809"/>
    <n v="1"/>
    <s v="Y"/>
    <x v="1"/>
    <n v="21"/>
    <n v="4"/>
    <n v="3"/>
    <n v="80"/>
    <n v="2"/>
    <n v="9"/>
    <n v="4"/>
    <n v="2"/>
    <n v="9"/>
    <n v="7"/>
    <x v="1"/>
    <x v="1"/>
  </r>
  <r>
    <x v="0"/>
    <x v="1"/>
    <x v="0"/>
    <n v="314"/>
    <x v="2"/>
    <x v="0"/>
    <n v="3"/>
    <x v="5"/>
    <n v="1"/>
    <n v="734"/>
    <n v="4"/>
    <x v="1"/>
    <x v="40"/>
    <n v="2"/>
    <n v="5"/>
    <x v="5"/>
    <n v="3"/>
    <x v="1"/>
    <x v="519"/>
    <n v="19562"/>
    <n v="1"/>
    <s v="Y"/>
    <x v="1"/>
    <n v="12"/>
    <n v="3"/>
    <n v="2"/>
    <n v="80"/>
    <n v="1"/>
    <n v="22"/>
    <n v="3"/>
    <n v="3"/>
    <n v="22"/>
    <n v="7"/>
    <x v="3"/>
    <x v="13"/>
  </r>
  <r>
    <x v="24"/>
    <x v="1"/>
    <x v="0"/>
    <n v="316"/>
    <x v="0"/>
    <x v="1"/>
    <n v="4"/>
    <x v="3"/>
    <n v="1"/>
    <n v="738"/>
    <n v="4"/>
    <x v="1"/>
    <x v="60"/>
    <n v="3"/>
    <n v="1"/>
    <x v="6"/>
    <n v="2"/>
    <x v="1"/>
    <x v="520"/>
    <n v="9983"/>
    <n v="7"/>
    <s v="Y"/>
    <x v="1"/>
    <n v="15"/>
    <n v="3"/>
    <n v="4"/>
    <n v="80"/>
    <n v="1"/>
    <n v="4"/>
    <n v="2"/>
    <n v="3"/>
    <n v="2"/>
    <n v="2"/>
    <x v="3"/>
    <x v="3"/>
  </r>
  <r>
    <x v="14"/>
    <x v="0"/>
    <x v="0"/>
    <n v="654"/>
    <x v="1"/>
    <x v="0"/>
    <n v="2"/>
    <x v="0"/>
    <n v="1"/>
    <n v="741"/>
    <n v="1"/>
    <x v="0"/>
    <x v="7"/>
    <n v="1"/>
    <n v="1"/>
    <x v="1"/>
    <n v="2"/>
    <x v="0"/>
    <x v="521"/>
    <n v="3872"/>
    <n v="7"/>
    <s v="Y"/>
    <x v="0"/>
    <n v="13"/>
    <n v="3"/>
    <n v="4"/>
    <n v="80"/>
    <n v="0"/>
    <n v="10"/>
    <n v="4"/>
    <n v="3"/>
    <n v="7"/>
    <n v="7"/>
    <x v="2"/>
    <x v="1"/>
  </r>
  <r>
    <x v="9"/>
    <x v="1"/>
    <x v="2"/>
    <n v="427"/>
    <x v="1"/>
    <x v="1"/>
    <n v="3"/>
    <x v="0"/>
    <n v="1"/>
    <n v="742"/>
    <n v="1"/>
    <x v="0"/>
    <x v="52"/>
    <n v="4"/>
    <n v="3"/>
    <x v="7"/>
    <n v="1"/>
    <x v="1"/>
    <x v="522"/>
    <n v="20335"/>
    <n v="9"/>
    <s v="Y"/>
    <x v="1"/>
    <n v="14"/>
    <n v="3"/>
    <n v="1"/>
    <n v="80"/>
    <n v="1"/>
    <n v="10"/>
    <n v="2"/>
    <n v="3"/>
    <n v="8"/>
    <n v="7"/>
    <x v="0"/>
    <x v="0"/>
  </r>
  <r>
    <x v="8"/>
    <x v="1"/>
    <x v="0"/>
    <n v="168"/>
    <x v="1"/>
    <x v="0"/>
    <n v="3"/>
    <x v="0"/>
    <n v="1"/>
    <n v="743"/>
    <n v="3"/>
    <x v="0"/>
    <x v="6"/>
    <n v="3"/>
    <n v="3"/>
    <x v="3"/>
    <n v="3"/>
    <x v="0"/>
    <x v="523"/>
    <n v="15397"/>
    <n v="4"/>
    <s v="Y"/>
    <x v="0"/>
    <n v="14"/>
    <n v="3"/>
    <n v="4"/>
    <n v="80"/>
    <n v="0"/>
    <n v="10"/>
    <n v="4"/>
    <n v="4"/>
    <n v="1"/>
    <n v="0"/>
    <x v="0"/>
    <x v="2"/>
  </r>
  <r>
    <x v="20"/>
    <x v="1"/>
    <x v="2"/>
    <n v="381"/>
    <x v="1"/>
    <x v="4"/>
    <n v="3"/>
    <x v="2"/>
    <n v="1"/>
    <n v="744"/>
    <n v="1"/>
    <x v="1"/>
    <x v="10"/>
    <n v="1"/>
    <n v="1"/>
    <x v="2"/>
    <n v="3"/>
    <x v="0"/>
    <x v="524"/>
    <n v="2104"/>
    <n v="2"/>
    <s v="Y"/>
    <x v="1"/>
    <n v="14"/>
    <n v="3"/>
    <n v="3"/>
    <n v="80"/>
    <n v="0"/>
    <n v="9"/>
    <n v="5"/>
    <n v="3"/>
    <n v="5"/>
    <n v="2"/>
    <x v="1"/>
    <x v="10"/>
  </r>
  <r>
    <x v="40"/>
    <x v="1"/>
    <x v="1"/>
    <n v="217"/>
    <x v="0"/>
    <x v="3"/>
    <n v="3"/>
    <x v="2"/>
    <n v="1"/>
    <n v="746"/>
    <n v="4"/>
    <x v="0"/>
    <x v="10"/>
    <n v="3"/>
    <n v="4"/>
    <x v="0"/>
    <n v="3"/>
    <x v="2"/>
    <x v="525"/>
    <n v="10225"/>
    <n v="9"/>
    <s v="Y"/>
    <x v="0"/>
    <n v="12"/>
    <n v="3"/>
    <n v="4"/>
    <n v="80"/>
    <n v="2"/>
    <n v="28"/>
    <n v="2"/>
    <n v="2"/>
    <n v="22"/>
    <n v="2"/>
    <x v="14"/>
    <x v="15"/>
  </r>
  <r>
    <x v="7"/>
    <x v="1"/>
    <x v="0"/>
    <n v="501"/>
    <x v="0"/>
    <x v="6"/>
    <n v="5"/>
    <x v="3"/>
    <n v="1"/>
    <n v="747"/>
    <n v="3"/>
    <x v="1"/>
    <x v="39"/>
    <n v="3"/>
    <n v="2"/>
    <x v="0"/>
    <n v="4"/>
    <x v="2"/>
    <x v="367"/>
    <n v="25275"/>
    <n v="7"/>
    <s v="Y"/>
    <x v="1"/>
    <n v="23"/>
    <n v="4"/>
    <n v="4"/>
    <n v="80"/>
    <n v="1"/>
    <n v="10"/>
    <n v="2"/>
    <n v="2"/>
    <n v="8"/>
    <n v="7"/>
    <x v="4"/>
    <x v="1"/>
  </r>
  <r>
    <x v="11"/>
    <x v="1"/>
    <x v="0"/>
    <n v="1396"/>
    <x v="0"/>
    <x v="17"/>
    <n v="3"/>
    <x v="0"/>
    <n v="1"/>
    <n v="749"/>
    <n v="3"/>
    <x v="1"/>
    <x v="39"/>
    <n v="3"/>
    <n v="1"/>
    <x v="6"/>
    <n v="3"/>
    <x v="0"/>
    <x v="526"/>
    <n v="2755"/>
    <n v="1"/>
    <s v="Y"/>
    <x v="1"/>
    <n v="11"/>
    <n v="3"/>
    <n v="3"/>
    <n v="80"/>
    <n v="0"/>
    <n v="1"/>
    <n v="6"/>
    <n v="3"/>
    <n v="1"/>
    <n v="0"/>
    <x v="0"/>
    <x v="2"/>
  </r>
  <r>
    <x v="19"/>
    <x v="0"/>
    <x v="1"/>
    <n v="933"/>
    <x v="1"/>
    <x v="10"/>
    <n v="3"/>
    <x v="2"/>
    <n v="1"/>
    <n v="752"/>
    <n v="3"/>
    <x v="1"/>
    <x v="42"/>
    <n v="4"/>
    <n v="1"/>
    <x v="1"/>
    <n v="3"/>
    <x v="2"/>
    <x v="527"/>
    <n v="20366"/>
    <n v="6"/>
    <s v="Y"/>
    <x v="0"/>
    <n v="12"/>
    <n v="3"/>
    <n v="4"/>
    <n v="80"/>
    <n v="0"/>
    <n v="7"/>
    <n v="2"/>
    <n v="3"/>
    <n v="2"/>
    <n v="2"/>
    <x v="3"/>
    <x v="3"/>
  </r>
  <r>
    <x v="23"/>
    <x v="1"/>
    <x v="1"/>
    <n v="775"/>
    <x v="0"/>
    <x v="8"/>
    <n v="3"/>
    <x v="0"/>
    <n v="1"/>
    <n v="754"/>
    <n v="4"/>
    <x v="1"/>
    <x v="35"/>
    <n v="2"/>
    <n v="2"/>
    <x v="0"/>
    <n v="4"/>
    <x v="1"/>
    <x v="197"/>
    <n v="23683"/>
    <n v="3"/>
    <s v="Y"/>
    <x v="1"/>
    <n v="18"/>
    <n v="3"/>
    <n v="3"/>
    <n v="80"/>
    <n v="1"/>
    <n v="7"/>
    <n v="5"/>
    <n v="3"/>
    <n v="2"/>
    <n v="2"/>
    <x v="3"/>
    <x v="3"/>
  </r>
  <r>
    <x v="13"/>
    <x v="1"/>
    <x v="0"/>
    <n v="970"/>
    <x v="1"/>
    <x v="1"/>
    <n v="2"/>
    <x v="2"/>
    <n v="1"/>
    <n v="757"/>
    <n v="2"/>
    <x v="0"/>
    <x v="16"/>
    <n v="3"/>
    <n v="2"/>
    <x v="4"/>
    <n v="3"/>
    <x v="0"/>
    <x v="528"/>
    <n v="7360"/>
    <n v="3"/>
    <s v="Y"/>
    <x v="1"/>
    <n v="11"/>
    <n v="3"/>
    <n v="4"/>
    <n v="80"/>
    <n v="0"/>
    <n v="10"/>
    <n v="2"/>
    <n v="3"/>
    <n v="5"/>
    <n v="1"/>
    <x v="5"/>
    <x v="6"/>
  </r>
  <r>
    <x v="30"/>
    <x v="1"/>
    <x v="0"/>
    <n v="650"/>
    <x v="1"/>
    <x v="14"/>
    <n v="1"/>
    <x v="2"/>
    <n v="1"/>
    <n v="758"/>
    <n v="2"/>
    <x v="1"/>
    <x v="31"/>
    <n v="3"/>
    <n v="1"/>
    <x v="2"/>
    <n v="1"/>
    <x v="1"/>
    <x v="172"/>
    <n v="4344"/>
    <n v="1"/>
    <s v="Y"/>
    <x v="1"/>
    <n v="14"/>
    <n v="3"/>
    <n v="4"/>
    <n v="80"/>
    <n v="1"/>
    <n v="5"/>
    <n v="2"/>
    <n v="4"/>
    <n v="4"/>
    <n v="3"/>
    <x v="0"/>
    <x v="3"/>
  </r>
  <r>
    <x v="22"/>
    <x v="1"/>
    <x v="0"/>
    <n v="141"/>
    <x v="2"/>
    <x v="3"/>
    <n v="3"/>
    <x v="5"/>
    <n v="1"/>
    <n v="760"/>
    <n v="3"/>
    <x v="0"/>
    <x v="8"/>
    <n v="4"/>
    <n v="2"/>
    <x v="8"/>
    <n v="2"/>
    <x v="1"/>
    <x v="529"/>
    <n v="18767"/>
    <n v="9"/>
    <s v="Y"/>
    <x v="1"/>
    <n v="15"/>
    <n v="3"/>
    <n v="3"/>
    <n v="80"/>
    <n v="1"/>
    <n v="12"/>
    <n v="3"/>
    <n v="1"/>
    <n v="8"/>
    <n v="3"/>
    <x v="2"/>
    <x v="4"/>
  </r>
  <r>
    <x v="29"/>
    <x v="1"/>
    <x v="0"/>
    <n v="832"/>
    <x v="1"/>
    <x v="14"/>
    <n v="3"/>
    <x v="2"/>
    <n v="1"/>
    <n v="762"/>
    <n v="3"/>
    <x v="1"/>
    <x v="6"/>
    <n v="3"/>
    <n v="4"/>
    <x v="4"/>
    <n v="4"/>
    <x v="1"/>
    <x v="530"/>
    <n v="20420"/>
    <n v="7"/>
    <s v="Y"/>
    <x v="1"/>
    <n v="11"/>
    <n v="3"/>
    <n v="3"/>
    <n v="80"/>
    <n v="0"/>
    <n v="30"/>
    <n v="1"/>
    <n v="2"/>
    <n v="10"/>
    <n v="7"/>
    <x v="1"/>
    <x v="9"/>
  </r>
  <r>
    <x v="32"/>
    <x v="1"/>
    <x v="0"/>
    <n v="804"/>
    <x v="1"/>
    <x v="2"/>
    <n v="1"/>
    <x v="2"/>
    <n v="1"/>
    <n v="763"/>
    <n v="4"/>
    <x v="0"/>
    <x v="27"/>
    <n v="2"/>
    <n v="1"/>
    <x v="1"/>
    <n v="4"/>
    <x v="0"/>
    <x v="531"/>
    <n v="22929"/>
    <n v="0"/>
    <s v="Y"/>
    <x v="0"/>
    <n v="20"/>
    <n v="4"/>
    <n v="4"/>
    <n v="80"/>
    <n v="0"/>
    <n v="5"/>
    <n v="2"/>
    <n v="2"/>
    <n v="4"/>
    <n v="2"/>
    <x v="3"/>
    <x v="6"/>
  </r>
  <r>
    <x v="4"/>
    <x v="1"/>
    <x v="0"/>
    <n v="975"/>
    <x v="1"/>
    <x v="15"/>
    <n v="3"/>
    <x v="2"/>
    <n v="1"/>
    <n v="764"/>
    <n v="4"/>
    <x v="0"/>
    <x v="46"/>
    <n v="2"/>
    <n v="2"/>
    <x v="4"/>
    <n v="1"/>
    <x v="0"/>
    <x v="445"/>
    <n v="23398"/>
    <n v="8"/>
    <s v="Y"/>
    <x v="1"/>
    <n v="19"/>
    <n v="3"/>
    <n v="1"/>
    <n v="80"/>
    <n v="0"/>
    <n v="9"/>
    <n v="2"/>
    <n v="1"/>
    <n v="7"/>
    <n v="6"/>
    <x v="0"/>
    <x v="1"/>
  </r>
  <r>
    <x v="11"/>
    <x v="1"/>
    <x v="0"/>
    <n v="1090"/>
    <x v="0"/>
    <x v="17"/>
    <n v="3"/>
    <x v="3"/>
    <n v="1"/>
    <n v="766"/>
    <n v="4"/>
    <x v="1"/>
    <x v="21"/>
    <n v="3"/>
    <n v="1"/>
    <x v="6"/>
    <n v="2"/>
    <x v="2"/>
    <x v="532"/>
    <n v="17967"/>
    <n v="1"/>
    <s v="Y"/>
    <x v="1"/>
    <n v="14"/>
    <n v="3"/>
    <n v="4"/>
    <n v="80"/>
    <n v="2"/>
    <n v="2"/>
    <n v="2"/>
    <n v="3"/>
    <n v="2"/>
    <n v="2"/>
    <x v="3"/>
    <x v="3"/>
  </r>
  <r>
    <x v="16"/>
    <x v="1"/>
    <x v="0"/>
    <n v="346"/>
    <x v="1"/>
    <x v="16"/>
    <n v="3"/>
    <x v="0"/>
    <n v="1"/>
    <n v="769"/>
    <n v="4"/>
    <x v="1"/>
    <x v="27"/>
    <n v="3"/>
    <n v="2"/>
    <x v="2"/>
    <n v="4"/>
    <x v="0"/>
    <x v="533"/>
    <n v="10919"/>
    <n v="2"/>
    <s v="Y"/>
    <x v="1"/>
    <n v="17"/>
    <n v="3"/>
    <n v="4"/>
    <n v="80"/>
    <n v="0"/>
    <n v="19"/>
    <n v="4"/>
    <n v="3"/>
    <n v="2"/>
    <n v="2"/>
    <x v="3"/>
    <x v="3"/>
  </r>
  <r>
    <x v="10"/>
    <x v="1"/>
    <x v="2"/>
    <n v="1225"/>
    <x v="1"/>
    <x v="2"/>
    <n v="4"/>
    <x v="0"/>
    <n v="1"/>
    <n v="771"/>
    <n v="4"/>
    <x v="0"/>
    <x v="1"/>
    <n v="3"/>
    <n v="2"/>
    <x v="4"/>
    <n v="1"/>
    <x v="2"/>
    <x v="534"/>
    <n v="4761"/>
    <n v="2"/>
    <s v="Y"/>
    <x v="1"/>
    <n v="11"/>
    <n v="3"/>
    <n v="1"/>
    <n v="80"/>
    <n v="1"/>
    <n v="16"/>
    <n v="2"/>
    <n v="4"/>
    <n v="1"/>
    <n v="0"/>
    <x v="0"/>
    <x v="2"/>
  </r>
  <r>
    <x v="5"/>
    <x v="1"/>
    <x v="1"/>
    <n v="430"/>
    <x v="1"/>
    <x v="4"/>
    <n v="4"/>
    <x v="0"/>
    <n v="1"/>
    <n v="772"/>
    <n v="1"/>
    <x v="1"/>
    <x v="15"/>
    <n v="3"/>
    <n v="2"/>
    <x v="2"/>
    <n v="4"/>
    <x v="1"/>
    <x v="535"/>
    <n v="21146"/>
    <n v="1"/>
    <s v="Y"/>
    <x v="1"/>
    <n v="15"/>
    <n v="3"/>
    <n v="4"/>
    <n v="80"/>
    <n v="2"/>
    <n v="10"/>
    <n v="2"/>
    <n v="3"/>
    <n v="10"/>
    <n v="8"/>
    <x v="5"/>
    <x v="1"/>
  </r>
  <r>
    <x v="8"/>
    <x v="1"/>
    <x v="0"/>
    <n v="268"/>
    <x v="1"/>
    <x v="2"/>
    <n v="5"/>
    <x v="2"/>
    <n v="1"/>
    <n v="773"/>
    <n v="4"/>
    <x v="1"/>
    <x v="2"/>
    <n v="3"/>
    <n v="1"/>
    <x v="1"/>
    <n v="3"/>
    <x v="1"/>
    <x v="536"/>
    <n v="20471"/>
    <n v="6"/>
    <s v="Y"/>
    <x v="0"/>
    <n v="13"/>
    <n v="3"/>
    <n v="2"/>
    <n v="80"/>
    <n v="1"/>
    <n v="6"/>
    <n v="0"/>
    <n v="1"/>
    <n v="1"/>
    <n v="0"/>
    <x v="0"/>
    <x v="9"/>
  </r>
  <r>
    <x v="13"/>
    <x v="1"/>
    <x v="0"/>
    <n v="167"/>
    <x v="1"/>
    <x v="1"/>
    <n v="5"/>
    <x v="0"/>
    <n v="1"/>
    <n v="775"/>
    <n v="2"/>
    <x v="0"/>
    <x v="47"/>
    <n v="3"/>
    <n v="2"/>
    <x v="3"/>
    <n v="1"/>
    <x v="2"/>
    <x v="537"/>
    <n v="4187"/>
    <n v="3"/>
    <s v="Y"/>
    <x v="1"/>
    <n v="14"/>
    <n v="3"/>
    <n v="3"/>
    <n v="80"/>
    <n v="1"/>
    <n v="7"/>
    <n v="3"/>
    <n v="3"/>
    <n v="0"/>
    <n v="0"/>
    <x v="0"/>
    <x v="2"/>
  </r>
  <r>
    <x v="39"/>
    <x v="1"/>
    <x v="0"/>
    <n v="621"/>
    <x v="0"/>
    <x v="3"/>
    <n v="4"/>
    <x v="3"/>
    <n v="1"/>
    <n v="776"/>
    <n v="3"/>
    <x v="1"/>
    <x v="11"/>
    <n v="2"/>
    <n v="4"/>
    <x v="5"/>
    <n v="1"/>
    <x v="1"/>
    <x v="538"/>
    <n v="10084"/>
    <n v="1"/>
    <s v="Y"/>
    <x v="1"/>
    <n v="11"/>
    <n v="3"/>
    <n v="1"/>
    <n v="80"/>
    <n v="0"/>
    <n v="34"/>
    <n v="3"/>
    <n v="4"/>
    <n v="34"/>
    <n v="6"/>
    <x v="1"/>
    <x v="16"/>
  </r>
  <r>
    <x v="3"/>
    <x v="0"/>
    <x v="0"/>
    <n v="527"/>
    <x v="1"/>
    <x v="0"/>
    <n v="4"/>
    <x v="1"/>
    <n v="1"/>
    <n v="780"/>
    <n v="4"/>
    <x v="1"/>
    <x v="52"/>
    <n v="3"/>
    <n v="1"/>
    <x v="1"/>
    <n v="4"/>
    <x v="0"/>
    <x v="539"/>
    <n v="5207"/>
    <n v="1"/>
    <s v="Y"/>
    <x v="0"/>
    <n v="13"/>
    <n v="3"/>
    <n v="3"/>
    <n v="80"/>
    <n v="0"/>
    <n v="10"/>
    <n v="2"/>
    <n v="2"/>
    <n v="10"/>
    <n v="9"/>
    <x v="4"/>
    <x v="5"/>
  </r>
  <r>
    <x v="36"/>
    <x v="1"/>
    <x v="0"/>
    <n v="883"/>
    <x v="0"/>
    <x v="9"/>
    <n v="1"/>
    <x v="2"/>
    <n v="1"/>
    <n v="781"/>
    <n v="3"/>
    <x v="0"/>
    <x v="47"/>
    <n v="3"/>
    <n v="2"/>
    <x v="0"/>
    <n v="4"/>
    <x v="0"/>
    <x v="540"/>
    <n v="22807"/>
    <n v="1"/>
    <s v="Y"/>
    <x v="1"/>
    <n v="23"/>
    <n v="4"/>
    <n v="2"/>
    <n v="80"/>
    <n v="0"/>
    <n v="6"/>
    <n v="5"/>
    <n v="2"/>
    <n v="6"/>
    <n v="5"/>
    <x v="1"/>
    <x v="10"/>
  </r>
  <r>
    <x v="28"/>
    <x v="1"/>
    <x v="0"/>
    <n v="954"/>
    <x v="0"/>
    <x v="2"/>
    <n v="2"/>
    <x v="4"/>
    <n v="1"/>
    <n v="783"/>
    <n v="2"/>
    <x v="1"/>
    <x v="55"/>
    <n v="1"/>
    <n v="2"/>
    <x v="6"/>
    <n v="3"/>
    <x v="0"/>
    <x v="541"/>
    <n v="12388"/>
    <n v="0"/>
    <s v="Y"/>
    <x v="1"/>
    <n v="13"/>
    <n v="3"/>
    <n v="1"/>
    <n v="80"/>
    <n v="0"/>
    <n v="9"/>
    <n v="3"/>
    <n v="3"/>
    <n v="8"/>
    <n v="7"/>
    <x v="2"/>
    <x v="9"/>
  </r>
  <r>
    <x v="30"/>
    <x v="1"/>
    <x v="0"/>
    <n v="310"/>
    <x v="1"/>
    <x v="17"/>
    <n v="1"/>
    <x v="2"/>
    <n v="1"/>
    <n v="784"/>
    <n v="1"/>
    <x v="1"/>
    <x v="5"/>
    <n v="4"/>
    <n v="1"/>
    <x v="1"/>
    <n v="3"/>
    <x v="0"/>
    <x v="542"/>
    <n v="19630"/>
    <n v="1"/>
    <s v="Y"/>
    <x v="1"/>
    <n v="18"/>
    <n v="3"/>
    <n v="4"/>
    <n v="80"/>
    <n v="0"/>
    <n v="2"/>
    <n v="3"/>
    <n v="3"/>
    <n v="2"/>
    <n v="2"/>
    <x v="0"/>
    <x v="3"/>
  </r>
  <r>
    <x v="40"/>
    <x v="0"/>
    <x v="1"/>
    <n v="719"/>
    <x v="0"/>
    <x v="6"/>
    <n v="2"/>
    <x v="0"/>
    <n v="1"/>
    <n v="785"/>
    <n v="2"/>
    <x v="0"/>
    <x v="57"/>
    <n v="4"/>
    <n v="2"/>
    <x v="0"/>
    <n v="3"/>
    <x v="0"/>
    <x v="271"/>
    <n v="10339"/>
    <n v="4"/>
    <s v="Y"/>
    <x v="0"/>
    <n v="12"/>
    <n v="3"/>
    <n v="4"/>
    <n v="80"/>
    <n v="0"/>
    <n v="8"/>
    <n v="2"/>
    <n v="3"/>
    <n v="5"/>
    <n v="4"/>
    <x v="1"/>
    <x v="6"/>
  </r>
  <r>
    <x v="13"/>
    <x v="1"/>
    <x v="0"/>
    <n v="304"/>
    <x v="0"/>
    <x v="2"/>
    <n v="3"/>
    <x v="1"/>
    <n v="1"/>
    <n v="786"/>
    <n v="4"/>
    <x v="1"/>
    <x v="53"/>
    <n v="3"/>
    <n v="2"/>
    <x v="0"/>
    <n v="4"/>
    <x v="0"/>
    <x v="543"/>
    <n v="18686"/>
    <n v="1"/>
    <s v="Y"/>
    <x v="1"/>
    <n v="22"/>
    <n v="4"/>
    <n v="3"/>
    <n v="80"/>
    <n v="0"/>
    <n v="6"/>
    <n v="5"/>
    <n v="3"/>
    <n v="6"/>
    <n v="5"/>
    <x v="1"/>
    <x v="10"/>
  </r>
  <r>
    <x v="27"/>
    <x v="0"/>
    <x v="0"/>
    <n v="725"/>
    <x v="1"/>
    <x v="2"/>
    <n v="3"/>
    <x v="2"/>
    <n v="1"/>
    <n v="787"/>
    <n v="4"/>
    <x v="1"/>
    <x v="17"/>
    <n v="3"/>
    <n v="5"/>
    <x v="5"/>
    <n v="1"/>
    <x v="1"/>
    <x v="544"/>
    <n v="21199"/>
    <n v="5"/>
    <s v="Y"/>
    <x v="0"/>
    <n v="13"/>
    <n v="3"/>
    <n v="4"/>
    <n v="80"/>
    <n v="1"/>
    <n v="24"/>
    <n v="2"/>
    <n v="3"/>
    <n v="5"/>
    <n v="2"/>
    <x v="1"/>
    <x v="10"/>
  </r>
  <r>
    <x v="9"/>
    <x v="1"/>
    <x v="2"/>
    <n v="1434"/>
    <x v="0"/>
    <x v="1"/>
    <n v="4"/>
    <x v="0"/>
    <n v="1"/>
    <n v="789"/>
    <n v="1"/>
    <x v="1"/>
    <x v="43"/>
    <n v="2"/>
    <n v="3"/>
    <x v="0"/>
    <n v="1"/>
    <x v="0"/>
    <x v="545"/>
    <n v="14229"/>
    <n v="1"/>
    <s v="Y"/>
    <x v="1"/>
    <n v="15"/>
    <n v="3"/>
    <n v="2"/>
    <n v="80"/>
    <n v="0"/>
    <n v="10"/>
    <n v="1"/>
    <n v="3"/>
    <n v="10"/>
    <n v="7"/>
    <x v="0"/>
    <x v="12"/>
  </r>
  <r>
    <x v="39"/>
    <x v="1"/>
    <x v="2"/>
    <n v="715"/>
    <x v="1"/>
    <x v="10"/>
    <n v="4"/>
    <x v="2"/>
    <n v="1"/>
    <n v="791"/>
    <n v="4"/>
    <x v="1"/>
    <x v="26"/>
    <n v="3"/>
    <n v="1"/>
    <x v="1"/>
    <n v="4"/>
    <x v="1"/>
    <x v="546"/>
    <n v="26589"/>
    <n v="0"/>
    <s v="Y"/>
    <x v="1"/>
    <n v="18"/>
    <n v="3"/>
    <n v="1"/>
    <n v="80"/>
    <n v="1"/>
    <n v="5"/>
    <n v="3"/>
    <n v="3"/>
    <n v="4"/>
    <n v="3"/>
    <x v="1"/>
    <x v="3"/>
  </r>
  <r>
    <x v="25"/>
    <x v="1"/>
    <x v="1"/>
    <n v="575"/>
    <x v="1"/>
    <x v="0"/>
    <n v="2"/>
    <x v="0"/>
    <n v="1"/>
    <n v="792"/>
    <n v="1"/>
    <x v="0"/>
    <x v="36"/>
    <n v="1"/>
    <n v="1"/>
    <x v="2"/>
    <n v="4"/>
    <x v="2"/>
    <x v="547"/>
    <n v="5288"/>
    <n v="3"/>
    <s v="Y"/>
    <x v="1"/>
    <n v="14"/>
    <n v="3"/>
    <n v="1"/>
    <n v="80"/>
    <n v="1"/>
    <n v="5"/>
    <n v="2"/>
    <n v="3"/>
    <n v="2"/>
    <n v="2"/>
    <x v="3"/>
    <x v="2"/>
  </r>
  <r>
    <x v="11"/>
    <x v="1"/>
    <x v="0"/>
    <n v="657"/>
    <x v="1"/>
    <x v="6"/>
    <n v="3"/>
    <x v="2"/>
    <n v="1"/>
    <n v="793"/>
    <n v="2"/>
    <x v="0"/>
    <x v="45"/>
    <n v="3"/>
    <n v="2"/>
    <x v="4"/>
    <n v="3"/>
    <x v="1"/>
    <x v="548"/>
    <n v="25549"/>
    <n v="4"/>
    <s v="Y"/>
    <x v="1"/>
    <n v="12"/>
    <n v="3"/>
    <n v="1"/>
    <n v="80"/>
    <n v="1"/>
    <n v="11"/>
    <n v="3"/>
    <n v="2"/>
    <n v="8"/>
    <n v="7"/>
    <x v="1"/>
    <x v="9"/>
  </r>
  <r>
    <x v="25"/>
    <x v="0"/>
    <x v="0"/>
    <n v="1146"/>
    <x v="0"/>
    <x v="1"/>
    <n v="3"/>
    <x v="4"/>
    <n v="1"/>
    <n v="796"/>
    <n v="4"/>
    <x v="1"/>
    <x v="70"/>
    <n v="2"/>
    <n v="2"/>
    <x v="0"/>
    <n v="1"/>
    <x v="0"/>
    <x v="549"/>
    <n v="3064"/>
    <n v="6"/>
    <s v="Y"/>
    <x v="1"/>
    <n v="17"/>
    <n v="3"/>
    <n v="3"/>
    <n v="80"/>
    <n v="0"/>
    <n v="6"/>
    <n v="2"/>
    <n v="2"/>
    <n v="4"/>
    <n v="3"/>
    <x v="1"/>
    <x v="3"/>
  </r>
  <r>
    <x v="13"/>
    <x v="1"/>
    <x v="0"/>
    <n v="182"/>
    <x v="1"/>
    <x v="0"/>
    <n v="4"/>
    <x v="0"/>
    <n v="1"/>
    <n v="797"/>
    <n v="2"/>
    <x v="0"/>
    <x v="23"/>
    <n v="4"/>
    <n v="1"/>
    <x v="1"/>
    <n v="4"/>
    <x v="0"/>
    <x v="550"/>
    <n v="13551"/>
    <n v="2"/>
    <s v="Y"/>
    <x v="1"/>
    <n v="16"/>
    <n v="3"/>
    <n v="3"/>
    <n v="80"/>
    <n v="0"/>
    <n v="10"/>
    <n v="2"/>
    <n v="3"/>
    <n v="4"/>
    <n v="2"/>
    <x v="1"/>
    <x v="6"/>
  </r>
  <r>
    <x v="33"/>
    <x v="1"/>
    <x v="0"/>
    <n v="376"/>
    <x v="1"/>
    <x v="10"/>
    <n v="4"/>
    <x v="2"/>
    <n v="1"/>
    <n v="799"/>
    <n v="4"/>
    <x v="0"/>
    <x v="41"/>
    <n v="3"/>
    <n v="2"/>
    <x v="3"/>
    <n v="1"/>
    <x v="2"/>
    <x v="551"/>
    <n v="22670"/>
    <n v="9"/>
    <s v="Y"/>
    <x v="0"/>
    <n v="11"/>
    <n v="3"/>
    <n v="2"/>
    <n v="80"/>
    <n v="2"/>
    <n v="9"/>
    <n v="4"/>
    <n v="3"/>
    <n v="5"/>
    <n v="3"/>
    <x v="1"/>
    <x v="10"/>
  </r>
  <r>
    <x v="4"/>
    <x v="1"/>
    <x v="1"/>
    <n v="829"/>
    <x v="0"/>
    <x v="1"/>
    <n v="1"/>
    <x v="3"/>
    <n v="1"/>
    <n v="800"/>
    <n v="3"/>
    <x v="1"/>
    <x v="9"/>
    <n v="3"/>
    <n v="2"/>
    <x v="0"/>
    <n v="4"/>
    <x v="1"/>
    <x v="552"/>
    <n v="24008"/>
    <n v="0"/>
    <s v="Y"/>
    <x v="1"/>
    <n v="19"/>
    <n v="3"/>
    <n v="2"/>
    <n v="80"/>
    <n v="1"/>
    <n v="5"/>
    <n v="3"/>
    <n v="3"/>
    <n v="4"/>
    <n v="2"/>
    <x v="1"/>
    <x v="9"/>
  </r>
  <r>
    <x v="2"/>
    <x v="1"/>
    <x v="0"/>
    <n v="571"/>
    <x v="1"/>
    <x v="17"/>
    <n v="1"/>
    <x v="0"/>
    <n v="1"/>
    <n v="802"/>
    <n v="4"/>
    <x v="0"/>
    <x v="19"/>
    <n v="3"/>
    <n v="1"/>
    <x v="1"/>
    <n v="1"/>
    <x v="2"/>
    <x v="553"/>
    <n v="19905"/>
    <n v="0"/>
    <s v="Y"/>
    <x v="0"/>
    <n v="13"/>
    <n v="3"/>
    <n v="2"/>
    <n v="80"/>
    <n v="2"/>
    <n v="6"/>
    <n v="3"/>
    <n v="2"/>
    <n v="5"/>
    <n v="3"/>
    <x v="5"/>
    <x v="6"/>
  </r>
  <r>
    <x v="8"/>
    <x v="1"/>
    <x v="1"/>
    <n v="240"/>
    <x v="1"/>
    <x v="2"/>
    <n v="4"/>
    <x v="0"/>
    <n v="1"/>
    <n v="803"/>
    <n v="1"/>
    <x v="0"/>
    <x v="29"/>
    <n v="4"/>
    <n v="2"/>
    <x v="3"/>
    <n v="1"/>
    <x v="0"/>
    <x v="554"/>
    <n v="26085"/>
    <n v="6"/>
    <s v="Y"/>
    <x v="0"/>
    <n v="12"/>
    <n v="3"/>
    <n v="4"/>
    <n v="80"/>
    <n v="0"/>
    <n v="17"/>
    <n v="2"/>
    <n v="3"/>
    <n v="15"/>
    <n v="7"/>
    <x v="5"/>
    <x v="11"/>
  </r>
  <r>
    <x v="13"/>
    <x v="1"/>
    <x v="0"/>
    <n v="121"/>
    <x v="1"/>
    <x v="2"/>
    <n v="4"/>
    <x v="2"/>
    <n v="1"/>
    <n v="804"/>
    <n v="3"/>
    <x v="0"/>
    <x v="27"/>
    <n v="2"/>
    <n v="1"/>
    <x v="1"/>
    <n v="1"/>
    <x v="0"/>
    <x v="555"/>
    <n v="7530"/>
    <n v="1"/>
    <s v="Y"/>
    <x v="1"/>
    <n v="11"/>
    <n v="3"/>
    <n v="3"/>
    <n v="80"/>
    <n v="0"/>
    <n v="6"/>
    <n v="3"/>
    <n v="3"/>
    <n v="6"/>
    <n v="5"/>
    <x v="1"/>
    <x v="6"/>
  </r>
  <r>
    <x v="10"/>
    <x v="1"/>
    <x v="0"/>
    <n v="384"/>
    <x v="0"/>
    <x v="1"/>
    <n v="4"/>
    <x v="0"/>
    <n v="1"/>
    <n v="805"/>
    <n v="1"/>
    <x v="0"/>
    <x v="23"/>
    <n v="3"/>
    <n v="1"/>
    <x v="6"/>
    <n v="4"/>
    <x v="1"/>
    <x v="556"/>
    <n v="20317"/>
    <n v="1"/>
    <s v="Y"/>
    <x v="1"/>
    <n v="16"/>
    <n v="3"/>
    <n v="2"/>
    <n v="80"/>
    <n v="1"/>
    <n v="3"/>
    <n v="1"/>
    <n v="2"/>
    <n v="3"/>
    <n v="2"/>
    <x v="0"/>
    <x v="3"/>
  </r>
  <r>
    <x v="7"/>
    <x v="1"/>
    <x v="0"/>
    <n v="921"/>
    <x v="1"/>
    <x v="0"/>
    <n v="3"/>
    <x v="0"/>
    <n v="1"/>
    <n v="806"/>
    <n v="4"/>
    <x v="1"/>
    <x v="70"/>
    <n v="1"/>
    <n v="1"/>
    <x v="2"/>
    <n v="3"/>
    <x v="1"/>
    <x v="557"/>
    <n v="24375"/>
    <n v="3"/>
    <s v="Y"/>
    <x v="1"/>
    <n v="21"/>
    <n v="4"/>
    <n v="3"/>
    <n v="80"/>
    <n v="2"/>
    <n v="7"/>
    <n v="2"/>
    <n v="3"/>
    <n v="2"/>
    <n v="2"/>
    <x v="0"/>
    <x v="3"/>
  </r>
  <r>
    <x v="32"/>
    <x v="1"/>
    <x v="1"/>
    <n v="791"/>
    <x v="1"/>
    <x v="2"/>
    <n v="2"/>
    <x v="2"/>
    <n v="1"/>
    <n v="807"/>
    <n v="3"/>
    <x v="0"/>
    <x v="70"/>
    <n v="4"/>
    <n v="2"/>
    <x v="4"/>
    <n v="2"/>
    <x v="1"/>
    <x v="558"/>
    <n v="9931"/>
    <n v="1"/>
    <s v="Y"/>
    <x v="1"/>
    <n v="24"/>
    <n v="4"/>
    <n v="4"/>
    <n v="80"/>
    <n v="1"/>
    <n v="8"/>
    <n v="2"/>
    <n v="3"/>
    <n v="8"/>
    <n v="7"/>
    <x v="2"/>
    <x v="1"/>
  </r>
  <r>
    <x v="13"/>
    <x v="1"/>
    <x v="0"/>
    <n v="1111"/>
    <x v="0"/>
    <x v="1"/>
    <n v="2"/>
    <x v="0"/>
    <n v="1"/>
    <n v="808"/>
    <n v="3"/>
    <x v="0"/>
    <x v="12"/>
    <n v="3"/>
    <n v="2"/>
    <x v="0"/>
    <n v="1"/>
    <x v="1"/>
    <x v="559"/>
    <n v="13305"/>
    <n v="5"/>
    <s v="Y"/>
    <x v="1"/>
    <n v="17"/>
    <n v="3"/>
    <n v="2"/>
    <n v="80"/>
    <n v="1"/>
    <n v="6"/>
    <n v="1"/>
    <n v="3"/>
    <n v="3"/>
    <n v="2"/>
    <x v="1"/>
    <x v="3"/>
  </r>
  <r>
    <x v="19"/>
    <x v="1"/>
    <x v="1"/>
    <n v="570"/>
    <x v="1"/>
    <x v="1"/>
    <n v="3"/>
    <x v="0"/>
    <n v="1"/>
    <n v="809"/>
    <n v="2"/>
    <x v="1"/>
    <x v="45"/>
    <n v="3"/>
    <n v="5"/>
    <x v="5"/>
    <n v="4"/>
    <x v="2"/>
    <x v="560"/>
    <n v="16225"/>
    <n v="1"/>
    <s v="Y"/>
    <x v="1"/>
    <n v="13"/>
    <n v="3"/>
    <n v="2"/>
    <n v="80"/>
    <n v="1"/>
    <n v="24"/>
    <n v="4"/>
    <n v="2"/>
    <n v="24"/>
    <n v="7"/>
    <x v="15"/>
    <x v="12"/>
  </r>
  <r>
    <x v="30"/>
    <x v="0"/>
    <x v="0"/>
    <n v="1243"/>
    <x v="1"/>
    <x v="16"/>
    <n v="3"/>
    <x v="0"/>
    <n v="1"/>
    <n v="811"/>
    <n v="3"/>
    <x v="1"/>
    <x v="52"/>
    <n v="4"/>
    <n v="1"/>
    <x v="2"/>
    <n v="1"/>
    <x v="1"/>
    <x v="561"/>
    <n v="3445"/>
    <n v="1"/>
    <s v="Y"/>
    <x v="0"/>
    <n v="21"/>
    <n v="4"/>
    <n v="3"/>
    <n v="80"/>
    <n v="2"/>
    <n v="1"/>
    <n v="2"/>
    <n v="3"/>
    <n v="0"/>
    <n v="0"/>
    <x v="0"/>
    <x v="2"/>
  </r>
  <r>
    <x v="17"/>
    <x v="1"/>
    <x v="2"/>
    <n v="1092"/>
    <x v="1"/>
    <x v="14"/>
    <n v="3"/>
    <x v="0"/>
    <n v="1"/>
    <n v="812"/>
    <n v="3"/>
    <x v="1"/>
    <x v="53"/>
    <n v="2"/>
    <n v="1"/>
    <x v="2"/>
    <n v="2"/>
    <x v="2"/>
    <x v="562"/>
    <n v="26551"/>
    <n v="1"/>
    <s v="Y"/>
    <x v="1"/>
    <n v="11"/>
    <n v="3"/>
    <n v="3"/>
    <n v="80"/>
    <n v="3"/>
    <n v="1"/>
    <n v="4"/>
    <n v="3"/>
    <n v="1"/>
    <n v="0"/>
    <x v="0"/>
    <x v="2"/>
  </r>
  <r>
    <x v="39"/>
    <x v="1"/>
    <x v="0"/>
    <n v="1325"/>
    <x v="1"/>
    <x v="13"/>
    <n v="4"/>
    <x v="0"/>
    <n v="1"/>
    <n v="813"/>
    <n v="4"/>
    <x v="0"/>
    <x v="19"/>
    <n v="3"/>
    <n v="2"/>
    <x v="2"/>
    <n v="3"/>
    <x v="1"/>
    <x v="563"/>
    <n v="21821"/>
    <n v="8"/>
    <s v="Y"/>
    <x v="1"/>
    <n v="20"/>
    <n v="4"/>
    <n v="2"/>
    <n v="80"/>
    <n v="1"/>
    <n v="9"/>
    <n v="3"/>
    <n v="3"/>
    <n v="5"/>
    <n v="2"/>
    <x v="1"/>
    <x v="10"/>
  </r>
  <r>
    <x v="24"/>
    <x v="1"/>
    <x v="0"/>
    <n v="691"/>
    <x v="1"/>
    <x v="2"/>
    <n v="3"/>
    <x v="2"/>
    <n v="1"/>
    <n v="815"/>
    <n v="3"/>
    <x v="1"/>
    <x v="51"/>
    <n v="3"/>
    <n v="4"/>
    <x v="7"/>
    <n v="3"/>
    <x v="1"/>
    <x v="564"/>
    <n v="6881"/>
    <n v="5"/>
    <s v="Y"/>
    <x v="1"/>
    <n v="16"/>
    <n v="3"/>
    <n v="4"/>
    <n v="80"/>
    <n v="0"/>
    <n v="30"/>
    <n v="3"/>
    <n v="3"/>
    <n v="4"/>
    <n v="3"/>
    <x v="0"/>
    <x v="6"/>
  </r>
  <r>
    <x v="11"/>
    <x v="0"/>
    <x v="0"/>
    <n v="805"/>
    <x v="1"/>
    <x v="0"/>
    <n v="2"/>
    <x v="0"/>
    <n v="1"/>
    <n v="816"/>
    <n v="2"/>
    <x v="0"/>
    <x v="34"/>
    <n v="2"/>
    <n v="1"/>
    <x v="2"/>
    <n v="1"/>
    <x v="1"/>
    <x v="565"/>
    <n v="6689"/>
    <n v="1"/>
    <s v="Y"/>
    <x v="0"/>
    <n v="11"/>
    <n v="3"/>
    <n v="4"/>
    <n v="80"/>
    <n v="1"/>
    <n v="1"/>
    <n v="1"/>
    <n v="3"/>
    <n v="1"/>
    <n v="0"/>
    <x v="0"/>
    <x v="2"/>
  </r>
  <r>
    <x v="3"/>
    <x v="1"/>
    <x v="0"/>
    <n v="213"/>
    <x v="1"/>
    <x v="15"/>
    <n v="3"/>
    <x v="2"/>
    <n v="1"/>
    <n v="817"/>
    <n v="3"/>
    <x v="1"/>
    <x v="10"/>
    <n v="3"/>
    <n v="3"/>
    <x v="7"/>
    <n v="3"/>
    <x v="1"/>
    <x v="566"/>
    <n v="25995"/>
    <n v="0"/>
    <s v="Y"/>
    <x v="1"/>
    <n v="11"/>
    <n v="3"/>
    <n v="4"/>
    <n v="80"/>
    <n v="0"/>
    <n v="14"/>
    <n v="3"/>
    <n v="4"/>
    <n v="13"/>
    <n v="9"/>
    <x v="2"/>
    <x v="1"/>
  </r>
  <r>
    <x v="3"/>
    <x v="0"/>
    <x v="0"/>
    <n v="118"/>
    <x v="0"/>
    <x v="7"/>
    <n v="3"/>
    <x v="3"/>
    <n v="1"/>
    <n v="819"/>
    <n v="1"/>
    <x v="0"/>
    <x v="68"/>
    <n v="3"/>
    <n v="2"/>
    <x v="0"/>
    <n v="1"/>
    <x v="0"/>
    <x v="567"/>
    <n v="26507"/>
    <n v="5"/>
    <s v="Y"/>
    <x v="1"/>
    <n v="15"/>
    <n v="3"/>
    <n v="3"/>
    <n v="80"/>
    <n v="0"/>
    <n v="6"/>
    <n v="3"/>
    <n v="3"/>
    <n v="3"/>
    <n v="2"/>
    <x v="0"/>
    <x v="3"/>
  </r>
  <r>
    <x v="40"/>
    <x v="1"/>
    <x v="0"/>
    <n v="202"/>
    <x v="1"/>
    <x v="2"/>
    <n v="2"/>
    <x v="1"/>
    <n v="1"/>
    <n v="820"/>
    <n v="3"/>
    <x v="0"/>
    <x v="30"/>
    <n v="3"/>
    <n v="4"/>
    <x v="5"/>
    <n v="4"/>
    <x v="1"/>
    <x v="568"/>
    <n v="12982"/>
    <n v="1"/>
    <s v="Y"/>
    <x v="0"/>
    <n v="11"/>
    <n v="3"/>
    <n v="3"/>
    <n v="80"/>
    <n v="1"/>
    <n v="26"/>
    <n v="3"/>
    <n v="2"/>
    <n v="26"/>
    <n v="14"/>
    <x v="2"/>
    <x v="2"/>
  </r>
  <r>
    <x v="9"/>
    <x v="1"/>
    <x v="0"/>
    <n v="676"/>
    <x v="1"/>
    <x v="0"/>
    <n v="3"/>
    <x v="1"/>
    <n v="1"/>
    <n v="823"/>
    <n v="3"/>
    <x v="0"/>
    <x v="58"/>
    <n v="3"/>
    <n v="2"/>
    <x v="3"/>
    <n v="2"/>
    <x v="1"/>
    <x v="311"/>
    <n v="23361"/>
    <n v="0"/>
    <s v="Y"/>
    <x v="1"/>
    <n v="15"/>
    <n v="3"/>
    <n v="1"/>
    <n v="80"/>
    <n v="1"/>
    <n v="10"/>
    <n v="2"/>
    <n v="3"/>
    <n v="9"/>
    <n v="7"/>
    <x v="0"/>
    <x v="0"/>
  </r>
  <r>
    <x v="11"/>
    <x v="1"/>
    <x v="0"/>
    <n v="1252"/>
    <x v="1"/>
    <x v="5"/>
    <n v="2"/>
    <x v="0"/>
    <n v="1"/>
    <n v="824"/>
    <n v="3"/>
    <x v="1"/>
    <x v="6"/>
    <n v="4"/>
    <n v="1"/>
    <x v="1"/>
    <n v="3"/>
    <x v="1"/>
    <x v="569"/>
    <n v="23779"/>
    <n v="1"/>
    <s v="Y"/>
    <x v="1"/>
    <n v="24"/>
    <n v="4"/>
    <n v="3"/>
    <n v="80"/>
    <n v="1"/>
    <n v="10"/>
    <n v="3"/>
    <n v="3"/>
    <n v="10"/>
    <n v="7"/>
    <x v="0"/>
    <x v="1"/>
  </r>
  <r>
    <x v="34"/>
    <x v="0"/>
    <x v="0"/>
    <n v="286"/>
    <x v="1"/>
    <x v="2"/>
    <n v="4"/>
    <x v="0"/>
    <n v="1"/>
    <n v="825"/>
    <n v="4"/>
    <x v="1"/>
    <x v="11"/>
    <n v="3"/>
    <n v="5"/>
    <x v="7"/>
    <n v="2"/>
    <x v="0"/>
    <x v="570"/>
    <n v="25761"/>
    <n v="7"/>
    <s v="Y"/>
    <x v="0"/>
    <n v="12"/>
    <n v="3"/>
    <n v="4"/>
    <n v="80"/>
    <n v="0"/>
    <n v="40"/>
    <n v="2"/>
    <n v="3"/>
    <n v="31"/>
    <n v="15"/>
    <x v="11"/>
    <x v="5"/>
  </r>
  <r>
    <x v="10"/>
    <x v="1"/>
    <x v="0"/>
    <n v="1258"/>
    <x v="1"/>
    <x v="0"/>
    <n v="4"/>
    <x v="0"/>
    <n v="1"/>
    <n v="826"/>
    <n v="4"/>
    <x v="0"/>
    <x v="4"/>
    <n v="4"/>
    <n v="1"/>
    <x v="1"/>
    <n v="3"/>
    <x v="0"/>
    <x v="571"/>
    <n v="13301"/>
    <n v="3"/>
    <s v="Y"/>
    <x v="1"/>
    <n v="13"/>
    <n v="3"/>
    <n v="3"/>
    <n v="80"/>
    <n v="0"/>
    <n v="7"/>
    <n v="0"/>
    <n v="3"/>
    <n v="2"/>
    <n v="2"/>
    <x v="3"/>
    <x v="3"/>
  </r>
  <r>
    <x v="19"/>
    <x v="1"/>
    <x v="0"/>
    <n v="932"/>
    <x v="1"/>
    <x v="0"/>
    <n v="2"/>
    <x v="0"/>
    <n v="1"/>
    <n v="827"/>
    <n v="4"/>
    <x v="0"/>
    <x v="38"/>
    <n v="2"/>
    <n v="2"/>
    <x v="3"/>
    <n v="4"/>
    <x v="1"/>
    <x v="572"/>
    <n v="4051"/>
    <n v="9"/>
    <s v="Y"/>
    <x v="0"/>
    <n v="13"/>
    <n v="3"/>
    <n v="4"/>
    <n v="80"/>
    <n v="1"/>
    <n v="8"/>
    <n v="4"/>
    <n v="3"/>
    <n v="4"/>
    <n v="3"/>
    <x v="0"/>
    <x v="3"/>
  </r>
  <r>
    <x v="14"/>
    <x v="0"/>
    <x v="0"/>
    <n v="890"/>
    <x v="1"/>
    <x v="2"/>
    <n v="4"/>
    <x v="2"/>
    <n v="1"/>
    <n v="828"/>
    <n v="3"/>
    <x v="1"/>
    <x v="55"/>
    <n v="3"/>
    <n v="1"/>
    <x v="1"/>
    <n v="3"/>
    <x v="0"/>
    <x v="573"/>
    <n v="16374"/>
    <n v="6"/>
    <s v="Y"/>
    <x v="1"/>
    <n v="17"/>
    <n v="3"/>
    <n v="4"/>
    <n v="80"/>
    <n v="0"/>
    <n v="5"/>
    <n v="3"/>
    <n v="2"/>
    <n v="2"/>
    <n v="2"/>
    <x v="3"/>
    <x v="9"/>
  </r>
  <r>
    <x v="9"/>
    <x v="1"/>
    <x v="0"/>
    <n v="1041"/>
    <x v="2"/>
    <x v="28"/>
    <n v="3"/>
    <x v="5"/>
    <n v="1"/>
    <n v="829"/>
    <n v="3"/>
    <x v="1"/>
    <x v="34"/>
    <n v="3"/>
    <n v="1"/>
    <x v="8"/>
    <n v="2"/>
    <x v="1"/>
    <x v="574"/>
    <n v="25527"/>
    <n v="4"/>
    <s v="Y"/>
    <x v="1"/>
    <n v="13"/>
    <n v="3"/>
    <n v="2"/>
    <n v="80"/>
    <n v="1"/>
    <n v="8"/>
    <n v="2"/>
    <n v="3"/>
    <n v="5"/>
    <n v="2"/>
    <x v="0"/>
    <x v="10"/>
  </r>
  <r>
    <x v="5"/>
    <x v="1"/>
    <x v="0"/>
    <n v="859"/>
    <x v="1"/>
    <x v="18"/>
    <n v="3"/>
    <x v="0"/>
    <n v="1"/>
    <n v="830"/>
    <n v="3"/>
    <x v="0"/>
    <x v="33"/>
    <n v="2"/>
    <n v="2"/>
    <x v="3"/>
    <n v="3"/>
    <x v="1"/>
    <x v="57"/>
    <n v="19124"/>
    <n v="1"/>
    <s v="Y"/>
    <x v="1"/>
    <n v="12"/>
    <n v="3"/>
    <n v="3"/>
    <n v="80"/>
    <n v="1"/>
    <n v="14"/>
    <n v="3"/>
    <n v="3"/>
    <n v="14"/>
    <n v="13"/>
    <x v="7"/>
    <x v="5"/>
  </r>
  <r>
    <x v="32"/>
    <x v="1"/>
    <x v="1"/>
    <n v="720"/>
    <x v="1"/>
    <x v="7"/>
    <n v="4"/>
    <x v="2"/>
    <n v="1"/>
    <n v="832"/>
    <n v="1"/>
    <x v="1"/>
    <x v="14"/>
    <n v="2"/>
    <n v="2"/>
    <x v="2"/>
    <n v="3"/>
    <x v="0"/>
    <x v="575"/>
    <n v="11983"/>
    <n v="6"/>
    <s v="Y"/>
    <x v="1"/>
    <n v="14"/>
    <n v="3"/>
    <n v="4"/>
    <n v="80"/>
    <n v="0"/>
    <n v="10"/>
    <n v="6"/>
    <n v="3"/>
    <n v="1"/>
    <n v="0"/>
    <x v="0"/>
    <x v="2"/>
  </r>
  <r>
    <x v="7"/>
    <x v="1"/>
    <x v="0"/>
    <n v="946"/>
    <x v="1"/>
    <x v="2"/>
    <n v="3"/>
    <x v="2"/>
    <n v="1"/>
    <n v="833"/>
    <n v="3"/>
    <x v="0"/>
    <x v="48"/>
    <n v="2"/>
    <n v="2"/>
    <x v="3"/>
    <n v="4"/>
    <x v="0"/>
    <x v="576"/>
    <n v="20234"/>
    <n v="5"/>
    <s v="Y"/>
    <x v="0"/>
    <n v="24"/>
    <n v="4"/>
    <n v="2"/>
    <n v="80"/>
    <n v="0"/>
    <n v="12"/>
    <n v="4"/>
    <n v="2"/>
    <n v="0"/>
    <n v="0"/>
    <x v="0"/>
    <x v="2"/>
  </r>
  <r>
    <x v="28"/>
    <x v="1"/>
    <x v="0"/>
    <n v="252"/>
    <x v="1"/>
    <x v="2"/>
    <n v="3"/>
    <x v="0"/>
    <n v="1"/>
    <n v="834"/>
    <n v="2"/>
    <x v="0"/>
    <x v="41"/>
    <n v="2"/>
    <n v="1"/>
    <x v="1"/>
    <n v="3"/>
    <x v="0"/>
    <x v="577"/>
    <n v="6153"/>
    <n v="1"/>
    <s v="Y"/>
    <x v="1"/>
    <n v="14"/>
    <n v="3"/>
    <n v="4"/>
    <n v="80"/>
    <n v="0"/>
    <n v="1"/>
    <n v="3"/>
    <n v="3"/>
    <n v="1"/>
    <n v="0"/>
    <x v="0"/>
    <x v="2"/>
  </r>
  <r>
    <x v="19"/>
    <x v="1"/>
    <x v="0"/>
    <n v="933"/>
    <x v="1"/>
    <x v="22"/>
    <n v="3"/>
    <x v="0"/>
    <n v="1"/>
    <n v="836"/>
    <n v="2"/>
    <x v="1"/>
    <x v="33"/>
    <n v="3"/>
    <n v="2"/>
    <x v="3"/>
    <n v="2"/>
    <x v="1"/>
    <x v="578"/>
    <n v="11806"/>
    <n v="1"/>
    <s v="Y"/>
    <x v="1"/>
    <n v="13"/>
    <n v="3"/>
    <n v="4"/>
    <n v="80"/>
    <n v="1"/>
    <n v="10"/>
    <n v="3"/>
    <n v="2"/>
    <n v="9"/>
    <n v="8"/>
    <x v="4"/>
    <x v="5"/>
  </r>
  <r>
    <x v="8"/>
    <x v="1"/>
    <x v="1"/>
    <n v="471"/>
    <x v="1"/>
    <x v="20"/>
    <n v="3"/>
    <x v="0"/>
    <n v="1"/>
    <n v="837"/>
    <n v="1"/>
    <x v="1"/>
    <x v="18"/>
    <n v="2"/>
    <n v="2"/>
    <x v="4"/>
    <n v="1"/>
    <x v="2"/>
    <x v="579"/>
    <n v="4284"/>
    <n v="2"/>
    <s v="Y"/>
    <x v="1"/>
    <n v="15"/>
    <n v="3"/>
    <n v="3"/>
    <n v="80"/>
    <n v="1"/>
    <n v="13"/>
    <n v="3"/>
    <n v="2"/>
    <n v="4"/>
    <n v="3"/>
    <x v="1"/>
    <x v="3"/>
  </r>
  <r>
    <x v="13"/>
    <x v="1"/>
    <x v="1"/>
    <n v="702"/>
    <x v="1"/>
    <x v="7"/>
    <n v="4"/>
    <x v="0"/>
    <n v="1"/>
    <n v="838"/>
    <n v="3"/>
    <x v="0"/>
    <x v="54"/>
    <n v="2"/>
    <n v="1"/>
    <x v="1"/>
    <n v="4"/>
    <x v="0"/>
    <x v="580"/>
    <n v="8306"/>
    <n v="1"/>
    <s v="Y"/>
    <x v="1"/>
    <n v="16"/>
    <n v="3"/>
    <n v="3"/>
    <n v="80"/>
    <n v="0"/>
    <n v="6"/>
    <n v="3"/>
    <n v="3"/>
    <n v="5"/>
    <n v="2"/>
    <x v="1"/>
    <x v="6"/>
  </r>
  <r>
    <x v="1"/>
    <x v="0"/>
    <x v="0"/>
    <n v="1184"/>
    <x v="0"/>
    <x v="13"/>
    <n v="3"/>
    <x v="3"/>
    <n v="1"/>
    <n v="840"/>
    <n v="3"/>
    <x v="0"/>
    <x v="38"/>
    <n v="3"/>
    <n v="3"/>
    <x v="0"/>
    <n v="4"/>
    <x v="1"/>
    <x v="581"/>
    <n v="5860"/>
    <n v="1"/>
    <s v="Y"/>
    <x v="1"/>
    <n v="18"/>
    <n v="3"/>
    <n v="1"/>
    <n v="80"/>
    <n v="2"/>
    <n v="9"/>
    <n v="3"/>
    <n v="4"/>
    <n v="9"/>
    <n v="8"/>
    <x v="4"/>
    <x v="1"/>
  </r>
  <r>
    <x v="27"/>
    <x v="0"/>
    <x v="0"/>
    <n v="436"/>
    <x v="0"/>
    <x v="2"/>
    <n v="1"/>
    <x v="2"/>
    <n v="1"/>
    <n v="842"/>
    <n v="3"/>
    <x v="1"/>
    <x v="31"/>
    <n v="3"/>
    <n v="2"/>
    <x v="0"/>
    <n v="4"/>
    <x v="0"/>
    <x v="582"/>
    <n v="21519"/>
    <n v="4"/>
    <s v="Y"/>
    <x v="1"/>
    <n v="16"/>
    <n v="3"/>
    <n v="3"/>
    <n v="80"/>
    <n v="0"/>
    <n v="12"/>
    <n v="3"/>
    <n v="2"/>
    <n v="9"/>
    <n v="7"/>
    <x v="4"/>
    <x v="6"/>
  </r>
  <r>
    <x v="23"/>
    <x v="1"/>
    <x v="0"/>
    <n v="589"/>
    <x v="1"/>
    <x v="24"/>
    <n v="2"/>
    <x v="0"/>
    <n v="1"/>
    <n v="843"/>
    <n v="2"/>
    <x v="1"/>
    <x v="0"/>
    <n v="3"/>
    <n v="4"/>
    <x v="7"/>
    <n v="1"/>
    <x v="1"/>
    <x v="583"/>
    <n v="5200"/>
    <n v="6"/>
    <s v="Y"/>
    <x v="1"/>
    <n v="24"/>
    <n v="4"/>
    <n v="3"/>
    <n v="80"/>
    <n v="1"/>
    <n v="22"/>
    <n v="3"/>
    <n v="3"/>
    <n v="4"/>
    <n v="1"/>
    <x v="1"/>
    <x v="2"/>
  </r>
  <r>
    <x v="4"/>
    <x v="1"/>
    <x v="0"/>
    <n v="269"/>
    <x v="1"/>
    <x v="12"/>
    <n v="1"/>
    <x v="4"/>
    <n v="1"/>
    <n v="844"/>
    <n v="3"/>
    <x v="1"/>
    <x v="25"/>
    <n v="2"/>
    <n v="3"/>
    <x v="7"/>
    <n v="4"/>
    <x v="2"/>
    <x v="584"/>
    <n v="8842"/>
    <n v="1"/>
    <s v="Y"/>
    <x v="0"/>
    <n v="16"/>
    <n v="3"/>
    <n v="2"/>
    <n v="80"/>
    <n v="1"/>
    <n v="9"/>
    <n v="3"/>
    <n v="3"/>
    <n v="9"/>
    <n v="8"/>
    <x v="0"/>
    <x v="5"/>
  </r>
  <r>
    <x v="10"/>
    <x v="1"/>
    <x v="0"/>
    <n v="950"/>
    <x v="1"/>
    <x v="15"/>
    <n v="3"/>
    <x v="1"/>
    <n v="1"/>
    <n v="845"/>
    <n v="3"/>
    <x v="1"/>
    <x v="40"/>
    <n v="3"/>
    <n v="3"/>
    <x v="3"/>
    <n v="3"/>
    <x v="0"/>
    <x v="585"/>
    <n v="18869"/>
    <n v="3"/>
    <s v="Y"/>
    <x v="1"/>
    <n v="21"/>
    <n v="4"/>
    <n v="2"/>
    <n v="80"/>
    <n v="0"/>
    <n v="17"/>
    <n v="3"/>
    <n v="4"/>
    <n v="8"/>
    <n v="5"/>
    <x v="1"/>
    <x v="4"/>
  </r>
  <r>
    <x v="14"/>
    <x v="1"/>
    <x v="0"/>
    <n v="760"/>
    <x v="0"/>
    <x v="2"/>
    <n v="4"/>
    <x v="3"/>
    <n v="1"/>
    <n v="846"/>
    <n v="2"/>
    <x v="0"/>
    <x v="6"/>
    <n v="3"/>
    <n v="2"/>
    <x v="0"/>
    <n v="2"/>
    <x v="1"/>
    <x v="586"/>
    <n v="3698"/>
    <n v="1"/>
    <s v="Y"/>
    <x v="0"/>
    <n v="20"/>
    <n v="4"/>
    <n v="1"/>
    <n v="80"/>
    <n v="0"/>
    <n v="8"/>
    <n v="2"/>
    <n v="3"/>
    <n v="8"/>
    <n v="7"/>
    <x v="4"/>
    <x v="0"/>
  </r>
  <r>
    <x v="13"/>
    <x v="1"/>
    <x v="0"/>
    <n v="829"/>
    <x v="2"/>
    <x v="3"/>
    <n v="2"/>
    <x v="5"/>
    <n v="1"/>
    <n v="847"/>
    <n v="3"/>
    <x v="1"/>
    <x v="64"/>
    <n v="3"/>
    <n v="1"/>
    <x v="8"/>
    <n v="4"/>
    <x v="1"/>
    <x v="587"/>
    <n v="2243"/>
    <n v="0"/>
    <s v="Y"/>
    <x v="1"/>
    <n v="19"/>
    <n v="3"/>
    <n v="3"/>
    <n v="80"/>
    <n v="1"/>
    <n v="4"/>
    <n v="1"/>
    <n v="1"/>
    <n v="3"/>
    <n v="2"/>
    <x v="0"/>
    <x v="3"/>
  </r>
  <r>
    <x v="25"/>
    <x v="0"/>
    <x v="1"/>
    <n v="887"/>
    <x v="1"/>
    <x v="12"/>
    <n v="2"/>
    <x v="2"/>
    <n v="1"/>
    <n v="848"/>
    <n v="3"/>
    <x v="0"/>
    <x v="64"/>
    <n v="2"/>
    <n v="1"/>
    <x v="1"/>
    <n v="3"/>
    <x v="1"/>
    <x v="588"/>
    <n v="20898"/>
    <n v="1"/>
    <s v="Y"/>
    <x v="0"/>
    <n v="14"/>
    <n v="3"/>
    <n v="1"/>
    <n v="80"/>
    <n v="1"/>
    <n v="8"/>
    <n v="2"/>
    <n v="3"/>
    <n v="8"/>
    <n v="7"/>
    <x v="1"/>
    <x v="1"/>
  </r>
  <r>
    <x v="4"/>
    <x v="1"/>
    <x v="2"/>
    <n v="443"/>
    <x v="1"/>
    <x v="3"/>
    <n v="3"/>
    <x v="2"/>
    <n v="1"/>
    <n v="850"/>
    <n v="4"/>
    <x v="1"/>
    <x v="13"/>
    <n v="3"/>
    <n v="1"/>
    <x v="1"/>
    <n v="4"/>
    <x v="1"/>
    <x v="589"/>
    <n v="16571"/>
    <n v="1"/>
    <s v="Y"/>
    <x v="1"/>
    <n v="11"/>
    <n v="3"/>
    <n v="3"/>
    <n v="80"/>
    <n v="3"/>
    <n v="0"/>
    <n v="6"/>
    <n v="2"/>
    <n v="0"/>
    <n v="0"/>
    <x v="0"/>
    <x v="2"/>
  </r>
  <r>
    <x v="31"/>
    <x v="1"/>
    <x v="0"/>
    <n v="1318"/>
    <x v="0"/>
    <x v="9"/>
    <n v="4"/>
    <x v="3"/>
    <n v="1"/>
    <n v="851"/>
    <n v="1"/>
    <x v="0"/>
    <x v="45"/>
    <n v="3"/>
    <n v="4"/>
    <x v="5"/>
    <n v="3"/>
    <x v="1"/>
    <x v="590"/>
    <n v="5594"/>
    <n v="2"/>
    <s v="Y"/>
    <x v="1"/>
    <n v="14"/>
    <n v="3"/>
    <n v="3"/>
    <n v="80"/>
    <n v="1"/>
    <n v="29"/>
    <n v="2"/>
    <n v="2"/>
    <n v="20"/>
    <n v="6"/>
    <x v="5"/>
    <x v="8"/>
  </r>
  <r>
    <x v="20"/>
    <x v="1"/>
    <x v="0"/>
    <n v="625"/>
    <x v="1"/>
    <x v="18"/>
    <n v="3"/>
    <x v="2"/>
    <n v="1"/>
    <n v="852"/>
    <n v="4"/>
    <x v="1"/>
    <x v="13"/>
    <n v="3"/>
    <n v="2"/>
    <x v="4"/>
    <n v="2"/>
    <x v="0"/>
    <x v="591"/>
    <n v="5197"/>
    <n v="9"/>
    <s v="Y"/>
    <x v="1"/>
    <n v="12"/>
    <n v="3"/>
    <n v="4"/>
    <n v="80"/>
    <n v="0"/>
    <n v="10"/>
    <n v="2"/>
    <n v="2"/>
    <n v="5"/>
    <n v="2"/>
    <x v="3"/>
    <x v="6"/>
  </r>
  <r>
    <x v="36"/>
    <x v="1"/>
    <x v="0"/>
    <n v="180"/>
    <x v="1"/>
    <x v="2"/>
    <n v="1"/>
    <x v="2"/>
    <n v="1"/>
    <n v="854"/>
    <n v="1"/>
    <x v="1"/>
    <x v="63"/>
    <n v="4"/>
    <n v="1"/>
    <x v="1"/>
    <n v="1"/>
    <x v="0"/>
    <x v="592"/>
    <n v="21632"/>
    <n v="7"/>
    <s v="Y"/>
    <x v="1"/>
    <n v="13"/>
    <n v="3"/>
    <n v="3"/>
    <n v="80"/>
    <n v="0"/>
    <n v="6"/>
    <n v="3"/>
    <n v="2"/>
    <n v="4"/>
    <n v="3"/>
    <x v="0"/>
    <x v="9"/>
  </r>
  <r>
    <x v="3"/>
    <x v="1"/>
    <x v="0"/>
    <n v="586"/>
    <x v="0"/>
    <x v="0"/>
    <n v="3"/>
    <x v="2"/>
    <n v="1"/>
    <n v="855"/>
    <n v="1"/>
    <x v="1"/>
    <x v="24"/>
    <n v="4"/>
    <n v="2"/>
    <x v="0"/>
    <n v="1"/>
    <x v="2"/>
    <x v="593"/>
    <n v="21816"/>
    <n v="1"/>
    <s v="Y"/>
    <x v="1"/>
    <n v="22"/>
    <n v="4"/>
    <n v="1"/>
    <n v="80"/>
    <n v="1"/>
    <n v="9"/>
    <n v="5"/>
    <n v="3"/>
    <n v="9"/>
    <n v="8"/>
    <x v="0"/>
    <x v="5"/>
  </r>
  <r>
    <x v="10"/>
    <x v="1"/>
    <x v="0"/>
    <n v="1343"/>
    <x v="1"/>
    <x v="6"/>
    <n v="1"/>
    <x v="2"/>
    <n v="1"/>
    <n v="856"/>
    <n v="3"/>
    <x v="0"/>
    <x v="20"/>
    <n v="2"/>
    <n v="1"/>
    <x v="1"/>
    <n v="1"/>
    <x v="0"/>
    <x v="594"/>
    <n v="17852"/>
    <n v="1"/>
    <s v="Y"/>
    <x v="1"/>
    <n v="11"/>
    <n v="3"/>
    <n v="4"/>
    <n v="80"/>
    <n v="0"/>
    <n v="6"/>
    <n v="3"/>
    <n v="2"/>
    <n v="6"/>
    <n v="5"/>
    <x v="1"/>
    <x v="9"/>
  </r>
  <r>
    <x v="9"/>
    <x v="1"/>
    <x v="0"/>
    <n v="928"/>
    <x v="0"/>
    <x v="0"/>
    <n v="2"/>
    <x v="0"/>
    <n v="1"/>
    <n v="857"/>
    <n v="2"/>
    <x v="1"/>
    <x v="3"/>
    <n v="3"/>
    <n v="2"/>
    <x v="0"/>
    <n v="4"/>
    <x v="1"/>
    <x v="595"/>
    <n v="2823"/>
    <n v="1"/>
    <s v="Y"/>
    <x v="0"/>
    <n v="14"/>
    <n v="3"/>
    <n v="4"/>
    <n v="80"/>
    <n v="1"/>
    <n v="18"/>
    <n v="1"/>
    <n v="2"/>
    <n v="18"/>
    <n v="14"/>
    <x v="5"/>
    <x v="7"/>
  </r>
  <r>
    <x v="5"/>
    <x v="1"/>
    <x v="0"/>
    <n v="117"/>
    <x v="0"/>
    <x v="28"/>
    <n v="4"/>
    <x v="0"/>
    <n v="1"/>
    <n v="859"/>
    <n v="2"/>
    <x v="1"/>
    <x v="32"/>
    <n v="3"/>
    <n v="2"/>
    <x v="0"/>
    <n v="4"/>
    <x v="2"/>
    <x v="596"/>
    <n v="9250"/>
    <n v="2"/>
    <s v="Y"/>
    <x v="1"/>
    <n v="11"/>
    <n v="3"/>
    <n v="3"/>
    <n v="80"/>
    <n v="1"/>
    <n v="8"/>
    <n v="3"/>
    <n v="2"/>
    <n v="5"/>
    <n v="2"/>
    <x v="0"/>
    <x v="6"/>
  </r>
  <r>
    <x v="7"/>
    <x v="1"/>
    <x v="1"/>
    <n v="1012"/>
    <x v="1"/>
    <x v="12"/>
    <n v="4"/>
    <x v="0"/>
    <n v="1"/>
    <n v="861"/>
    <n v="2"/>
    <x v="1"/>
    <x v="29"/>
    <n v="2"/>
    <n v="1"/>
    <x v="1"/>
    <n v="4"/>
    <x v="2"/>
    <x v="597"/>
    <n v="2373"/>
    <n v="9"/>
    <s v="Y"/>
    <x v="1"/>
    <n v="12"/>
    <n v="3"/>
    <n v="2"/>
    <n v="80"/>
    <n v="1"/>
    <n v="10"/>
    <n v="3"/>
    <n v="2"/>
    <n v="5"/>
    <n v="4"/>
    <x v="0"/>
    <x v="6"/>
  </r>
  <r>
    <x v="16"/>
    <x v="1"/>
    <x v="0"/>
    <n v="661"/>
    <x v="0"/>
    <x v="15"/>
    <n v="2"/>
    <x v="3"/>
    <n v="1"/>
    <n v="862"/>
    <n v="1"/>
    <x v="0"/>
    <x v="17"/>
    <n v="2"/>
    <n v="3"/>
    <x v="0"/>
    <n v="4"/>
    <x v="1"/>
    <x v="598"/>
    <n v="20715"/>
    <n v="7"/>
    <s v="Y"/>
    <x v="0"/>
    <n v="18"/>
    <n v="3"/>
    <n v="4"/>
    <n v="80"/>
    <n v="1"/>
    <n v="35"/>
    <n v="3"/>
    <n v="3"/>
    <n v="5"/>
    <n v="2"/>
    <x v="0"/>
    <x v="10"/>
  </r>
  <r>
    <x v="28"/>
    <x v="1"/>
    <x v="0"/>
    <n v="930"/>
    <x v="0"/>
    <x v="14"/>
    <n v="3"/>
    <x v="3"/>
    <n v="1"/>
    <n v="864"/>
    <n v="4"/>
    <x v="1"/>
    <x v="69"/>
    <n v="3"/>
    <n v="3"/>
    <x v="0"/>
    <n v="1"/>
    <x v="2"/>
    <x v="599"/>
    <n v="19239"/>
    <n v="4"/>
    <s v="Y"/>
    <x v="0"/>
    <n v="12"/>
    <n v="3"/>
    <n v="3"/>
    <n v="80"/>
    <n v="1"/>
    <n v="18"/>
    <n v="2"/>
    <n v="3"/>
    <n v="5"/>
    <n v="4"/>
    <x v="0"/>
    <x v="3"/>
  </r>
  <r>
    <x v="5"/>
    <x v="1"/>
    <x v="0"/>
    <n v="638"/>
    <x v="1"/>
    <x v="1"/>
    <n v="2"/>
    <x v="2"/>
    <n v="1"/>
    <n v="865"/>
    <n v="3"/>
    <x v="0"/>
    <x v="59"/>
    <n v="4"/>
    <n v="2"/>
    <x v="1"/>
    <n v="3"/>
    <x v="1"/>
    <x v="600"/>
    <n v="22162"/>
    <n v="5"/>
    <s v="Y"/>
    <x v="1"/>
    <n v="12"/>
    <n v="3"/>
    <n v="3"/>
    <n v="80"/>
    <n v="1"/>
    <n v="9"/>
    <n v="3"/>
    <n v="2"/>
    <n v="5"/>
    <n v="3"/>
    <x v="1"/>
    <x v="6"/>
  </r>
  <r>
    <x v="39"/>
    <x v="1"/>
    <x v="1"/>
    <n v="890"/>
    <x v="1"/>
    <x v="19"/>
    <n v="4"/>
    <x v="2"/>
    <n v="1"/>
    <n v="867"/>
    <n v="3"/>
    <x v="0"/>
    <x v="6"/>
    <n v="2"/>
    <n v="4"/>
    <x v="3"/>
    <n v="4"/>
    <x v="1"/>
    <x v="601"/>
    <n v="19028"/>
    <n v="3"/>
    <s v="Y"/>
    <x v="1"/>
    <n v="22"/>
    <n v="4"/>
    <n v="3"/>
    <n v="80"/>
    <n v="0"/>
    <n v="31"/>
    <n v="3"/>
    <n v="3"/>
    <n v="9"/>
    <n v="8"/>
    <x v="0"/>
    <x v="2"/>
  </r>
  <r>
    <x v="2"/>
    <x v="1"/>
    <x v="0"/>
    <n v="342"/>
    <x v="0"/>
    <x v="7"/>
    <n v="4"/>
    <x v="3"/>
    <n v="1"/>
    <n v="868"/>
    <n v="4"/>
    <x v="1"/>
    <x v="45"/>
    <n v="2"/>
    <n v="2"/>
    <x v="0"/>
    <n v="3"/>
    <x v="2"/>
    <x v="602"/>
    <n v="24558"/>
    <n v="4"/>
    <s v="Y"/>
    <x v="1"/>
    <n v="19"/>
    <n v="3"/>
    <n v="4"/>
    <n v="80"/>
    <n v="2"/>
    <n v="9"/>
    <n v="2"/>
    <n v="3"/>
    <n v="1"/>
    <n v="0"/>
    <x v="0"/>
    <x v="2"/>
  </r>
  <r>
    <x v="14"/>
    <x v="1"/>
    <x v="0"/>
    <n v="1169"/>
    <x v="2"/>
    <x v="1"/>
    <n v="2"/>
    <x v="2"/>
    <n v="1"/>
    <n v="869"/>
    <n v="2"/>
    <x v="1"/>
    <x v="52"/>
    <n v="2"/>
    <n v="1"/>
    <x v="8"/>
    <n v="4"/>
    <x v="2"/>
    <x v="365"/>
    <n v="23965"/>
    <n v="1"/>
    <s v="Y"/>
    <x v="1"/>
    <n v="13"/>
    <n v="3"/>
    <n v="4"/>
    <n v="80"/>
    <n v="1"/>
    <n v="6"/>
    <n v="6"/>
    <n v="3"/>
    <n v="5"/>
    <n v="1"/>
    <x v="0"/>
    <x v="10"/>
  </r>
  <r>
    <x v="15"/>
    <x v="1"/>
    <x v="0"/>
    <n v="1230"/>
    <x v="1"/>
    <x v="0"/>
    <n v="2"/>
    <x v="0"/>
    <n v="1"/>
    <n v="872"/>
    <n v="4"/>
    <x v="1"/>
    <x v="30"/>
    <n v="2"/>
    <n v="2"/>
    <x v="3"/>
    <n v="4"/>
    <x v="1"/>
    <x v="603"/>
    <n v="19146"/>
    <n v="6"/>
    <s v="Y"/>
    <x v="1"/>
    <n v="22"/>
    <n v="4"/>
    <n v="1"/>
    <n v="80"/>
    <n v="2"/>
    <n v="4"/>
    <n v="2"/>
    <n v="1"/>
    <n v="2"/>
    <n v="2"/>
    <x v="3"/>
    <x v="3"/>
  </r>
  <r>
    <x v="20"/>
    <x v="1"/>
    <x v="0"/>
    <n v="986"/>
    <x v="1"/>
    <x v="1"/>
    <n v="4"/>
    <x v="0"/>
    <n v="1"/>
    <n v="874"/>
    <n v="1"/>
    <x v="1"/>
    <x v="50"/>
    <n v="4"/>
    <n v="1"/>
    <x v="2"/>
    <n v="4"/>
    <x v="1"/>
    <x v="604"/>
    <n v="5044"/>
    <n v="2"/>
    <s v="Y"/>
    <x v="0"/>
    <n v="24"/>
    <n v="4"/>
    <n v="3"/>
    <n v="80"/>
    <n v="1"/>
    <n v="10"/>
    <n v="2"/>
    <n v="2"/>
    <n v="3"/>
    <n v="2"/>
    <x v="0"/>
    <x v="3"/>
  </r>
  <r>
    <x v="19"/>
    <x v="1"/>
    <x v="1"/>
    <n v="1271"/>
    <x v="1"/>
    <x v="2"/>
    <n v="1"/>
    <x v="2"/>
    <n v="1"/>
    <n v="875"/>
    <n v="2"/>
    <x v="1"/>
    <x v="58"/>
    <n v="3"/>
    <n v="1"/>
    <x v="1"/>
    <n v="4"/>
    <x v="0"/>
    <x v="605"/>
    <n v="9068"/>
    <n v="5"/>
    <s v="Y"/>
    <x v="0"/>
    <n v="14"/>
    <n v="3"/>
    <n v="4"/>
    <n v="80"/>
    <n v="0"/>
    <n v="8"/>
    <n v="2"/>
    <n v="3"/>
    <n v="2"/>
    <n v="1"/>
    <x v="3"/>
    <x v="3"/>
  </r>
  <r>
    <x v="9"/>
    <x v="1"/>
    <x v="0"/>
    <n v="1278"/>
    <x v="2"/>
    <x v="1"/>
    <n v="3"/>
    <x v="0"/>
    <n v="1"/>
    <n v="878"/>
    <n v="1"/>
    <x v="1"/>
    <x v="57"/>
    <n v="2"/>
    <n v="1"/>
    <x v="8"/>
    <n v="1"/>
    <x v="1"/>
    <x v="531"/>
    <n v="8635"/>
    <n v="0"/>
    <s v="Y"/>
    <x v="1"/>
    <n v="21"/>
    <n v="4"/>
    <n v="3"/>
    <n v="80"/>
    <n v="0"/>
    <n v="6"/>
    <n v="3"/>
    <n v="3"/>
    <n v="5"/>
    <n v="4"/>
    <x v="0"/>
    <x v="6"/>
  </r>
  <r>
    <x v="36"/>
    <x v="1"/>
    <x v="0"/>
    <n v="141"/>
    <x v="0"/>
    <x v="3"/>
    <n v="1"/>
    <x v="1"/>
    <n v="1"/>
    <n v="879"/>
    <n v="3"/>
    <x v="1"/>
    <x v="33"/>
    <n v="3"/>
    <n v="2"/>
    <x v="0"/>
    <n v="1"/>
    <x v="1"/>
    <x v="606"/>
    <n v="14363"/>
    <n v="1"/>
    <s v="Y"/>
    <x v="0"/>
    <n v="18"/>
    <n v="3"/>
    <n v="4"/>
    <n v="80"/>
    <n v="0"/>
    <n v="5"/>
    <n v="3"/>
    <n v="3"/>
    <n v="5"/>
    <n v="3"/>
    <x v="0"/>
    <x v="6"/>
  </r>
  <r>
    <x v="10"/>
    <x v="1"/>
    <x v="0"/>
    <n v="607"/>
    <x v="1"/>
    <x v="14"/>
    <n v="3"/>
    <x v="0"/>
    <n v="1"/>
    <n v="880"/>
    <n v="4"/>
    <x v="0"/>
    <x v="45"/>
    <n v="2"/>
    <n v="3"/>
    <x v="3"/>
    <n v="3"/>
    <x v="1"/>
    <x v="607"/>
    <n v="23457"/>
    <n v="1"/>
    <s v="Y"/>
    <x v="0"/>
    <n v="20"/>
    <n v="4"/>
    <n v="2"/>
    <n v="80"/>
    <n v="1"/>
    <n v="17"/>
    <n v="2"/>
    <n v="3"/>
    <n v="17"/>
    <n v="14"/>
    <x v="8"/>
    <x v="14"/>
  </r>
  <r>
    <x v="10"/>
    <x v="0"/>
    <x v="1"/>
    <n v="130"/>
    <x v="1"/>
    <x v="19"/>
    <n v="4"/>
    <x v="0"/>
    <n v="1"/>
    <n v="881"/>
    <n v="4"/>
    <x v="0"/>
    <x v="16"/>
    <n v="3"/>
    <n v="1"/>
    <x v="1"/>
    <n v="2"/>
    <x v="2"/>
    <x v="608"/>
    <n v="16612"/>
    <n v="1"/>
    <s v="Y"/>
    <x v="0"/>
    <n v="19"/>
    <n v="3"/>
    <n v="1"/>
    <n v="80"/>
    <n v="1"/>
    <n v="10"/>
    <n v="3"/>
    <n v="2"/>
    <n v="10"/>
    <n v="2"/>
    <x v="4"/>
    <x v="5"/>
  </r>
  <r>
    <x v="5"/>
    <x v="1"/>
    <x v="2"/>
    <n v="300"/>
    <x v="1"/>
    <x v="0"/>
    <n v="3"/>
    <x v="0"/>
    <n v="1"/>
    <n v="882"/>
    <n v="4"/>
    <x v="1"/>
    <x v="1"/>
    <n v="3"/>
    <n v="1"/>
    <x v="2"/>
    <n v="4"/>
    <x v="2"/>
    <x v="609"/>
    <n v="9148"/>
    <n v="0"/>
    <s v="Y"/>
    <x v="1"/>
    <n v="12"/>
    <n v="3"/>
    <n v="2"/>
    <n v="80"/>
    <n v="1"/>
    <n v="4"/>
    <n v="2"/>
    <n v="3"/>
    <n v="3"/>
    <n v="0"/>
    <x v="0"/>
    <x v="3"/>
  </r>
  <r>
    <x v="36"/>
    <x v="1"/>
    <x v="0"/>
    <n v="583"/>
    <x v="0"/>
    <x v="18"/>
    <n v="1"/>
    <x v="3"/>
    <n v="1"/>
    <n v="885"/>
    <n v="3"/>
    <x v="1"/>
    <x v="44"/>
    <n v="2"/>
    <n v="2"/>
    <x v="0"/>
    <n v="1"/>
    <x v="1"/>
    <x v="610"/>
    <n v="18154"/>
    <n v="1"/>
    <s v="Y"/>
    <x v="1"/>
    <n v="12"/>
    <n v="3"/>
    <n v="1"/>
    <n v="80"/>
    <n v="0"/>
    <n v="5"/>
    <n v="1"/>
    <n v="4"/>
    <n v="5"/>
    <n v="2"/>
    <x v="0"/>
    <x v="6"/>
  </r>
  <r>
    <x v="1"/>
    <x v="1"/>
    <x v="0"/>
    <n v="1418"/>
    <x v="1"/>
    <x v="0"/>
    <n v="3"/>
    <x v="4"/>
    <n v="1"/>
    <n v="887"/>
    <n v="3"/>
    <x v="0"/>
    <x v="34"/>
    <n v="3"/>
    <n v="1"/>
    <x v="1"/>
    <n v="1"/>
    <x v="1"/>
    <x v="611"/>
    <n v="10554"/>
    <n v="2"/>
    <s v="Y"/>
    <x v="1"/>
    <n v="16"/>
    <n v="3"/>
    <n v="2"/>
    <n v="80"/>
    <n v="1"/>
    <n v="7"/>
    <n v="2"/>
    <n v="3"/>
    <n v="4"/>
    <n v="2"/>
    <x v="0"/>
    <x v="3"/>
  </r>
  <r>
    <x v="17"/>
    <x v="1"/>
    <x v="2"/>
    <n v="1269"/>
    <x v="1"/>
    <x v="18"/>
    <n v="1"/>
    <x v="0"/>
    <n v="1"/>
    <n v="888"/>
    <n v="1"/>
    <x v="1"/>
    <x v="55"/>
    <n v="2"/>
    <n v="1"/>
    <x v="2"/>
    <n v="4"/>
    <x v="1"/>
    <x v="612"/>
    <n v="10778"/>
    <n v="0"/>
    <s v="Y"/>
    <x v="1"/>
    <n v="17"/>
    <n v="3"/>
    <n v="4"/>
    <n v="80"/>
    <n v="0"/>
    <n v="6"/>
    <n v="2"/>
    <n v="2"/>
    <n v="5"/>
    <n v="2"/>
    <x v="2"/>
    <x v="10"/>
  </r>
  <r>
    <x v="5"/>
    <x v="1"/>
    <x v="1"/>
    <n v="379"/>
    <x v="0"/>
    <x v="12"/>
    <n v="2"/>
    <x v="0"/>
    <n v="1"/>
    <n v="889"/>
    <n v="2"/>
    <x v="1"/>
    <x v="24"/>
    <n v="3"/>
    <n v="2"/>
    <x v="0"/>
    <n v="2"/>
    <x v="1"/>
    <x v="613"/>
    <n v="8891"/>
    <n v="1"/>
    <s v="Y"/>
    <x v="1"/>
    <n v="14"/>
    <n v="3"/>
    <n v="4"/>
    <n v="80"/>
    <n v="1"/>
    <n v="10"/>
    <n v="3"/>
    <n v="3"/>
    <n v="10"/>
    <n v="8"/>
    <x v="8"/>
    <x v="6"/>
  </r>
  <r>
    <x v="8"/>
    <x v="1"/>
    <x v="0"/>
    <n v="395"/>
    <x v="0"/>
    <x v="14"/>
    <n v="3"/>
    <x v="3"/>
    <n v="1"/>
    <n v="893"/>
    <n v="2"/>
    <x v="1"/>
    <x v="33"/>
    <n v="2"/>
    <n v="1"/>
    <x v="6"/>
    <n v="2"/>
    <x v="1"/>
    <x v="614"/>
    <n v="12102"/>
    <n v="0"/>
    <s v="Y"/>
    <x v="1"/>
    <n v="19"/>
    <n v="3"/>
    <n v="4"/>
    <n v="80"/>
    <n v="1"/>
    <n v="3"/>
    <n v="3"/>
    <n v="3"/>
    <n v="2"/>
    <n v="2"/>
    <x v="1"/>
    <x v="3"/>
  </r>
  <r>
    <x v="19"/>
    <x v="1"/>
    <x v="0"/>
    <n v="1265"/>
    <x v="1"/>
    <x v="3"/>
    <n v="3"/>
    <x v="0"/>
    <n v="1"/>
    <n v="894"/>
    <n v="3"/>
    <x v="0"/>
    <x v="41"/>
    <n v="4"/>
    <n v="2"/>
    <x v="2"/>
    <n v="4"/>
    <x v="1"/>
    <x v="615"/>
    <n v="23726"/>
    <n v="2"/>
    <s v="Y"/>
    <x v="0"/>
    <n v="13"/>
    <n v="3"/>
    <n v="2"/>
    <n v="80"/>
    <n v="1"/>
    <n v="17"/>
    <n v="1"/>
    <n v="2"/>
    <n v="5"/>
    <n v="3"/>
    <x v="1"/>
    <x v="6"/>
  </r>
  <r>
    <x v="12"/>
    <x v="1"/>
    <x v="0"/>
    <n v="1222"/>
    <x v="1"/>
    <x v="13"/>
    <n v="4"/>
    <x v="0"/>
    <n v="1"/>
    <n v="895"/>
    <n v="4"/>
    <x v="1"/>
    <x v="24"/>
    <n v="3"/>
    <n v="1"/>
    <x v="1"/>
    <n v="4"/>
    <x v="1"/>
    <x v="616"/>
    <n v="14871"/>
    <n v="3"/>
    <s v="Y"/>
    <x v="0"/>
    <n v="19"/>
    <n v="3"/>
    <n v="2"/>
    <n v="80"/>
    <n v="1"/>
    <n v="8"/>
    <n v="2"/>
    <n v="3"/>
    <n v="6"/>
    <n v="4"/>
    <x v="0"/>
    <x v="3"/>
  </r>
  <r>
    <x v="11"/>
    <x v="0"/>
    <x v="0"/>
    <n v="341"/>
    <x v="0"/>
    <x v="0"/>
    <n v="3"/>
    <x v="2"/>
    <n v="1"/>
    <n v="896"/>
    <n v="2"/>
    <x v="0"/>
    <x v="24"/>
    <n v="2"/>
    <n v="1"/>
    <x v="6"/>
    <n v="3"/>
    <x v="2"/>
    <x v="617"/>
    <n v="23522"/>
    <n v="6"/>
    <s v="Y"/>
    <x v="0"/>
    <n v="19"/>
    <n v="3"/>
    <n v="3"/>
    <n v="80"/>
    <n v="3"/>
    <n v="5"/>
    <n v="3"/>
    <n v="3"/>
    <n v="3"/>
    <n v="2"/>
    <x v="0"/>
    <x v="3"/>
  </r>
  <r>
    <x v="16"/>
    <x v="1"/>
    <x v="0"/>
    <n v="868"/>
    <x v="0"/>
    <x v="1"/>
    <n v="3"/>
    <x v="3"/>
    <n v="1"/>
    <n v="897"/>
    <n v="1"/>
    <x v="1"/>
    <x v="32"/>
    <n v="3"/>
    <n v="4"/>
    <x v="0"/>
    <n v="4"/>
    <x v="1"/>
    <x v="618"/>
    <n v="22789"/>
    <n v="5"/>
    <s v="Y"/>
    <x v="1"/>
    <n v="14"/>
    <n v="3"/>
    <n v="3"/>
    <n v="80"/>
    <n v="1"/>
    <n v="28"/>
    <n v="3"/>
    <n v="3"/>
    <n v="2"/>
    <n v="0"/>
    <x v="3"/>
    <x v="3"/>
  </r>
  <r>
    <x v="10"/>
    <x v="1"/>
    <x v="0"/>
    <n v="672"/>
    <x v="1"/>
    <x v="19"/>
    <n v="3"/>
    <x v="4"/>
    <n v="1"/>
    <n v="899"/>
    <n v="4"/>
    <x v="1"/>
    <x v="17"/>
    <n v="2"/>
    <n v="3"/>
    <x v="3"/>
    <n v="2"/>
    <x v="1"/>
    <x v="619"/>
    <n v="9129"/>
    <n v="3"/>
    <s v="Y"/>
    <x v="1"/>
    <n v="16"/>
    <n v="3"/>
    <n v="1"/>
    <n v="80"/>
    <n v="0"/>
    <n v="16"/>
    <n v="2"/>
    <n v="3"/>
    <n v="13"/>
    <n v="10"/>
    <x v="5"/>
    <x v="5"/>
  </r>
  <r>
    <x v="2"/>
    <x v="1"/>
    <x v="1"/>
    <n v="1231"/>
    <x v="0"/>
    <x v="11"/>
    <n v="2"/>
    <x v="2"/>
    <n v="1"/>
    <n v="900"/>
    <n v="3"/>
    <x v="0"/>
    <x v="60"/>
    <n v="3"/>
    <n v="1"/>
    <x v="6"/>
    <n v="4"/>
    <x v="1"/>
    <x v="620"/>
    <n v="21222"/>
    <n v="5"/>
    <s v="Y"/>
    <x v="1"/>
    <n v="15"/>
    <n v="3"/>
    <n v="2"/>
    <n v="80"/>
    <n v="1"/>
    <n v="10"/>
    <n v="3"/>
    <n v="3"/>
    <n v="5"/>
    <n v="4"/>
    <x v="0"/>
    <x v="2"/>
  </r>
  <r>
    <x v="16"/>
    <x v="1"/>
    <x v="0"/>
    <n v="102"/>
    <x v="1"/>
    <x v="5"/>
    <n v="4"/>
    <x v="0"/>
    <n v="1"/>
    <n v="901"/>
    <n v="4"/>
    <x v="0"/>
    <x v="23"/>
    <n v="3"/>
    <n v="4"/>
    <x v="7"/>
    <n v="4"/>
    <x v="0"/>
    <x v="621"/>
    <n v="20206"/>
    <n v="6"/>
    <s v="Y"/>
    <x v="1"/>
    <n v="18"/>
    <n v="3"/>
    <n v="3"/>
    <n v="80"/>
    <n v="0"/>
    <n v="33"/>
    <n v="0"/>
    <n v="3"/>
    <n v="12"/>
    <n v="9"/>
    <x v="2"/>
    <x v="5"/>
  </r>
  <r>
    <x v="23"/>
    <x v="1"/>
    <x v="1"/>
    <n v="422"/>
    <x v="1"/>
    <x v="0"/>
    <n v="3"/>
    <x v="0"/>
    <n v="1"/>
    <n v="902"/>
    <n v="4"/>
    <x v="0"/>
    <x v="30"/>
    <n v="3"/>
    <n v="2"/>
    <x v="4"/>
    <n v="4"/>
    <x v="1"/>
    <x v="622"/>
    <n v="21782"/>
    <n v="4"/>
    <s v="Y"/>
    <x v="1"/>
    <n v="13"/>
    <n v="3"/>
    <n v="2"/>
    <n v="80"/>
    <n v="1"/>
    <n v="12"/>
    <n v="2"/>
    <n v="2"/>
    <n v="5"/>
    <n v="2"/>
    <x v="3"/>
    <x v="3"/>
  </r>
  <r>
    <x v="40"/>
    <x v="1"/>
    <x v="0"/>
    <n v="249"/>
    <x v="0"/>
    <x v="2"/>
    <n v="2"/>
    <x v="3"/>
    <n v="1"/>
    <n v="903"/>
    <n v="3"/>
    <x v="0"/>
    <x v="58"/>
    <n v="3"/>
    <n v="2"/>
    <x v="0"/>
    <n v="4"/>
    <x v="1"/>
    <x v="623"/>
    <n v="17783"/>
    <n v="0"/>
    <s v="Y"/>
    <x v="0"/>
    <n v="22"/>
    <n v="4"/>
    <n v="1"/>
    <n v="80"/>
    <n v="1"/>
    <n v="8"/>
    <n v="2"/>
    <n v="3"/>
    <n v="7"/>
    <n v="6"/>
    <x v="4"/>
    <x v="1"/>
  </r>
  <r>
    <x v="2"/>
    <x v="1"/>
    <x v="2"/>
    <n v="1252"/>
    <x v="0"/>
    <x v="10"/>
    <n v="2"/>
    <x v="2"/>
    <n v="1"/>
    <n v="904"/>
    <n v="1"/>
    <x v="1"/>
    <x v="47"/>
    <n v="3"/>
    <n v="3"/>
    <x v="0"/>
    <n v="2"/>
    <x v="0"/>
    <x v="624"/>
    <n v="4814"/>
    <n v="1"/>
    <s v="Y"/>
    <x v="0"/>
    <n v="13"/>
    <n v="3"/>
    <n v="4"/>
    <n v="80"/>
    <n v="0"/>
    <n v="10"/>
    <n v="2"/>
    <n v="3"/>
    <n v="10"/>
    <n v="0"/>
    <x v="0"/>
    <x v="12"/>
  </r>
  <r>
    <x v="24"/>
    <x v="1"/>
    <x v="2"/>
    <n v="881"/>
    <x v="1"/>
    <x v="2"/>
    <n v="4"/>
    <x v="0"/>
    <n v="1"/>
    <n v="905"/>
    <n v="1"/>
    <x v="1"/>
    <x v="33"/>
    <n v="3"/>
    <n v="4"/>
    <x v="5"/>
    <n v="1"/>
    <x v="2"/>
    <x v="625"/>
    <n v="4544"/>
    <n v="1"/>
    <s v="Y"/>
    <x v="1"/>
    <n v="11"/>
    <n v="3"/>
    <n v="4"/>
    <n v="80"/>
    <n v="1"/>
    <n v="31"/>
    <n v="3"/>
    <n v="3"/>
    <n v="31"/>
    <n v="6"/>
    <x v="15"/>
    <x v="1"/>
  </r>
  <r>
    <x v="22"/>
    <x v="1"/>
    <x v="0"/>
    <n v="1383"/>
    <x v="2"/>
    <x v="2"/>
    <n v="3"/>
    <x v="0"/>
    <n v="1"/>
    <n v="909"/>
    <n v="4"/>
    <x v="0"/>
    <x v="25"/>
    <n v="2"/>
    <n v="2"/>
    <x v="8"/>
    <n v="4"/>
    <x v="1"/>
    <x v="626"/>
    <n v="7790"/>
    <n v="8"/>
    <s v="Y"/>
    <x v="1"/>
    <n v="11"/>
    <n v="3"/>
    <n v="3"/>
    <n v="80"/>
    <n v="2"/>
    <n v="13"/>
    <n v="2"/>
    <n v="3"/>
    <n v="5"/>
    <n v="4"/>
    <x v="0"/>
    <x v="10"/>
  </r>
  <r>
    <x v="3"/>
    <x v="1"/>
    <x v="0"/>
    <n v="1075"/>
    <x v="2"/>
    <x v="3"/>
    <n v="2"/>
    <x v="5"/>
    <n v="1"/>
    <n v="910"/>
    <n v="4"/>
    <x v="1"/>
    <x v="42"/>
    <n v="3"/>
    <n v="1"/>
    <x v="8"/>
    <n v="2"/>
    <x v="2"/>
    <x v="627"/>
    <n v="22650"/>
    <n v="3"/>
    <s v="Y"/>
    <x v="0"/>
    <n v="11"/>
    <n v="3"/>
    <n v="3"/>
    <n v="80"/>
    <n v="1"/>
    <n v="7"/>
    <n v="4"/>
    <n v="4"/>
    <n v="4"/>
    <n v="3"/>
    <x v="0"/>
    <x v="6"/>
  </r>
  <r>
    <x v="5"/>
    <x v="0"/>
    <x v="0"/>
    <n v="374"/>
    <x v="1"/>
    <x v="19"/>
    <n v="4"/>
    <x v="0"/>
    <n v="1"/>
    <n v="911"/>
    <n v="1"/>
    <x v="1"/>
    <x v="44"/>
    <n v="3"/>
    <n v="1"/>
    <x v="2"/>
    <n v="4"/>
    <x v="0"/>
    <x v="628"/>
    <n v="18016"/>
    <n v="1"/>
    <s v="Y"/>
    <x v="0"/>
    <n v="24"/>
    <n v="4"/>
    <n v="3"/>
    <n v="80"/>
    <n v="0"/>
    <n v="1"/>
    <n v="2"/>
    <n v="1"/>
    <n v="1"/>
    <n v="0"/>
    <x v="0"/>
    <x v="9"/>
  </r>
  <r>
    <x v="11"/>
    <x v="1"/>
    <x v="0"/>
    <n v="1086"/>
    <x v="1"/>
    <x v="15"/>
    <n v="1"/>
    <x v="2"/>
    <n v="1"/>
    <n v="912"/>
    <n v="1"/>
    <x v="0"/>
    <x v="50"/>
    <n v="2"/>
    <n v="1"/>
    <x v="2"/>
    <n v="4"/>
    <x v="2"/>
    <x v="629"/>
    <n v="6054"/>
    <n v="6"/>
    <s v="Y"/>
    <x v="1"/>
    <n v="14"/>
    <n v="3"/>
    <n v="3"/>
    <n v="80"/>
    <n v="3"/>
    <n v="8"/>
    <n v="5"/>
    <n v="3"/>
    <n v="4"/>
    <n v="3"/>
    <x v="0"/>
    <x v="6"/>
  </r>
  <r>
    <x v="20"/>
    <x v="1"/>
    <x v="0"/>
    <n v="661"/>
    <x v="1"/>
    <x v="14"/>
    <n v="2"/>
    <x v="0"/>
    <n v="1"/>
    <n v="913"/>
    <n v="2"/>
    <x v="1"/>
    <x v="1"/>
    <n v="3"/>
    <n v="1"/>
    <x v="1"/>
    <n v="1"/>
    <x v="1"/>
    <x v="594"/>
    <n v="7508"/>
    <n v="1"/>
    <s v="Y"/>
    <x v="0"/>
    <n v="13"/>
    <n v="3"/>
    <n v="4"/>
    <n v="80"/>
    <n v="0"/>
    <n v="8"/>
    <n v="0"/>
    <n v="3"/>
    <n v="8"/>
    <n v="7"/>
    <x v="4"/>
    <x v="9"/>
  </r>
  <r>
    <x v="14"/>
    <x v="1"/>
    <x v="0"/>
    <n v="821"/>
    <x v="0"/>
    <x v="12"/>
    <n v="4"/>
    <x v="2"/>
    <n v="1"/>
    <n v="916"/>
    <n v="1"/>
    <x v="1"/>
    <x v="33"/>
    <n v="3"/>
    <n v="2"/>
    <x v="0"/>
    <n v="4"/>
    <x v="0"/>
    <x v="630"/>
    <n v="24252"/>
    <n v="1"/>
    <s v="Y"/>
    <x v="1"/>
    <n v="14"/>
    <n v="3"/>
    <n v="2"/>
    <n v="80"/>
    <n v="0"/>
    <n v="4"/>
    <n v="3"/>
    <n v="3"/>
    <n v="4"/>
    <n v="2"/>
    <x v="0"/>
    <x v="3"/>
  </r>
  <r>
    <x v="34"/>
    <x v="0"/>
    <x v="1"/>
    <n v="781"/>
    <x v="1"/>
    <x v="2"/>
    <n v="1"/>
    <x v="0"/>
    <n v="1"/>
    <n v="918"/>
    <n v="4"/>
    <x v="1"/>
    <x v="42"/>
    <n v="2"/>
    <n v="1"/>
    <x v="2"/>
    <n v="4"/>
    <x v="2"/>
    <x v="631"/>
    <n v="13384"/>
    <n v="9"/>
    <s v="Y"/>
    <x v="0"/>
    <n v="14"/>
    <n v="3"/>
    <n v="4"/>
    <n v="80"/>
    <n v="1"/>
    <n v="3"/>
    <n v="3"/>
    <n v="2"/>
    <n v="1"/>
    <n v="0"/>
    <x v="0"/>
    <x v="2"/>
  </r>
  <r>
    <x v="23"/>
    <x v="1"/>
    <x v="0"/>
    <n v="177"/>
    <x v="1"/>
    <x v="1"/>
    <n v="3"/>
    <x v="0"/>
    <n v="1"/>
    <n v="920"/>
    <n v="1"/>
    <x v="0"/>
    <x v="46"/>
    <n v="3"/>
    <n v="2"/>
    <x v="3"/>
    <n v="2"/>
    <x v="2"/>
    <x v="632"/>
    <n v="23814"/>
    <n v="4"/>
    <s v="Y"/>
    <x v="1"/>
    <n v="21"/>
    <n v="4"/>
    <n v="3"/>
    <n v="80"/>
    <n v="1"/>
    <n v="4"/>
    <n v="2"/>
    <n v="4"/>
    <n v="1"/>
    <n v="0"/>
    <x v="0"/>
    <x v="2"/>
  </r>
  <r>
    <x v="35"/>
    <x v="0"/>
    <x v="0"/>
    <n v="500"/>
    <x v="0"/>
    <x v="2"/>
    <n v="3"/>
    <x v="2"/>
    <n v="1"/>
    <n v="922"/>
    <n v="3"/>
    <x v="0"/>
    <x v="10"/>
    <n v="2"/>
    <n v="1"/>
    <x v="6"/>
    <n v="3"/>
    <x v="0"/>
    <x v="633"/>
    <n v="22052"/>
    <n v="1"/>
    <s v="Y"/>
    <x v="1"/>
    <n v="13"/>
    <n v="3"/>
    <n v="4"/>
    <n v="80"/>
    <n v="0"/>
    <n v="2"/>
    <n v="3"/>
    <n v="2"/>
    <n v="2"/>
    <n v="2"/>
    <x v="0"/>
    <x v="3"/>
  </r>
  <r>
    <x v="18"/>
    <x v="0"/>
    <x v="0"/>
    <n v="1427"/>
    <x v="1"/>
    <x v="21"/>
    <n v="1"/>
    <x v="1"/>
    <n v="1"/>
    <n v="923"/>
    <n v="4"/>
    <x v="0"/>
    <x v="63"/>
    <n v="3"/>
    <n v="1"/>
    <x v="1"/>
    <n v="4"/>
    <x v="0"/>
    <x v="7"/>
    <n v="8870"/>
    <n v="1"/>
    <s v="Y"/>
    <x v="1"/>
    <n v="19"/>
    <n v="3"/>
    <n v="1"/>
    <n v="80"/>
    <n v="0"/>
    <n v="1"/>
    <n v="3"/>
    <n v="2"/>
    <n v="1"/>
    <n v="0"/>
    <x v="0"/>
    <x v="2"/>
  </r>
  <r>
    <x v="9"/>
    <x v="1"/>
    <x v="0"/>
    <n v="1425"/>
    <x v="1"/>
    <x v="24"/>
    <n v="1"/>
    <x v="0"/>
    <n v="1"/>
    <n v="924"/>
    <n v="3"/>
    <x v="1"/>
    <x v="67"/>
    <n v="3"/>
    <n v="2"/>
    <x v="4"/>
    <n v="4"/>
    <x v="1"/>
    <x v="634"/>
    <n v="4821"/>
    <n v="0"/>
    <s v="Y"/>
    <x v="0"/>
    <n v="17"/>
    <n v="3"/>
    <n v="1"/>
    <n v="80"/>
    <n v="1"/>
    <n v="17"/>
    <n v="2"/>
    <n v="2"/>
    <n v="16"/>
    <n v="8"/>
    <x v="5"/>
    <x v="7"/>
  </r>
  <r>
    <x v="40"/>
    <x v="1"/>
    <x v="0"/>
    <n v="1454"/>
    <x v="0"/>
    <x v="2"/>
    <n v="4"/>
    <x v="0"/>
    <n v="1"/>
    <n v="925"/>
    <n v="4"/>
    <x v="0"/>
    <x v="63"/>
    <n v="2"/>
    <n v="1"/>
    <x v="6"/>
    <n v="4"/>
    <x v="0"/>
    <x v="635"/>
    <n v="13137"/>
    <n v="1"/>
    <s v="Y"/>
    <x v="0"/>
    <n v="18"/>
    <n v="3"/>
    <n v="1"/>
    <n v="80"/>
    <n v="0"/>
    <n v="3"/>
    <n v="3"/>
    <n v="2"/>
    <n v="3"/>
    <n v="2"/>
    <x v="1"/>
    <x v="3"/>
  </r>
  <r>
    <x v="15"/>
    <x v="0"/>
    <x v="0"/>
    <n v="617"/>
    <x v="1"/>
    <x v="3"/>
    <n v="1"/>
    <x v="0"/>
    <n v="1"/>
    <n v="926"/>
    <n v="2"/>
    <x v="0"/>
    <x v="61"/>
    <n v="3"/>
    <n v="2"/>
    <x v="3"/>
    <n v="3"/>
    <x v="1"/>
    <x v="636"/>
    <n v="10022"/>
    <n v="0"/>
    <s v="Y"/>
    <x v="0"/>
    <n v="19"/>
    <n v="3"/>
    <n v="1"/>
    <n v="80"/>
    <n v="1"/>
    <n v="4"/>
    <n v="3"/>
    <n v="4"/>
    <n v="3"/>
    <n v="2"/>
    <x v="0"/>
    <x v="3"/>
  </r>
  <r>
    <x v="0"/>
    <x v="0"/>
    <x v="0"/>
    <n v="1085"/>
    <x v="1"/>
    <x v="2"/>
    <n v="4"/>
    <x v="0"/>
    <n v="1"/>
    <n v="927"/>
    <n v="2"/>
    <x v="0"/>
    <x v="42"/>
    <n v="1"/>
    <n v="1"/>
    <x v="2"/>
    <n v="4"/>
    <x v="2"/>
    <x v="637"/>
    <n v="17725"/>
    <n v="4"/>
    <s v="Y"/>
    <x v="0"/>
    <n v="13"/>
    <n v="3"/>
    <n v="3"/>
    <n v="80"/>
    <n v="1"/>
    <n v="10"/>
    <n v="1"/>
    <n v="2"/>
    <n v="7"/>
    <n v="7"/>
    <x v="1"/>
    <x v="2"/>
  </r>
  <r>
    <x v="14"/>
    <x v="1"/>
    <x v="0"/>
    <n v="995"/>
    <x v="1"/>
    <x v="14"/>
    <n v="3"/>
    <x v="2"/>
    <n v="1"/>
    <n v="930"/>
    <n v="3"/>
    <x v="0"/>
    <x v="57"/>
    <n v="3"/>
    <n v="1"/>
    <x v="1"/>
    <n v="3"/>
    <x v="2"/>
    <x v="638"/>
    <n v="9834"/>
    <n v="5"/>
    <s v="Y"/>
    <x v="1"/>
    <n v="18"/>
    <n v="3"/>
    <n v="2"/>
    <n v="80"/>
    <n v="1"/>
    <n v="6"/>
    <n v="2"/>
    <n v="3"/>
    <n v="2"/>
    <n v="2"/>
    <x v="3"/>
    <x v="3"/>
  </r>
  <r>
    <x v="22"/>
    <x v="0"/>
    <x v="0"/>
    <n v="1122"/>
    <x v="1"/>
    <x v="16"/>
    <n v="3"/>
    <x v="2"/>
    <n v="1"/>
    <n v="932"/>
    <n v="4"/>
    <x v="1"/>
    <x v="49"/>
    <n v="3"/>
    <n v="1"/>
    <x v="2"/>
    <n v="1"/>
    <x v="1"/>
    <x v="639"/>
    <n v="4303"/>
    <n v="7"/>
    <s v="Y"/>
    <x v="0"/>
    <n v="21"/>
    <n v="4"/>
    <n v="4"/>
    <n v="80"/>
    <n v="0"/>
    <n v="8"/>
    <n v="2"/>
    <n v="1"/>
    <n v="2"/>
    <n v="2"/>
    <x v="3"/>
    <x v="3"/>
  </r>
  <r>
    <x v="4"/>
    <x v="1"/>
    <x v="0"/>
    <n v="618"/>
    <x v="1"/>
    <x v="18"/>
    <n v="3"/>
    <x v="0"/>
    <n v="1"/>
    <n v="933"/>
    <n v="2"/>
    <x v="0"/>
    <x v="43"/>
    <n v="3"/>
    <n v="1"/>
    <x v="1"/>
    <n v="3"/>
    <x v="0"/>
    <x v="640"/>
    <n v="17808"/>
    <n v="1"/>
    <s v="Y"/>
    <x v="1"/>
    <n v="19"/>
    <n v="3"/>
    <n v="3"/>
    <n v="80"/>
    <n v="0"/>
    <n v="1"/>
    <n v="2"/>
    <n v="3"/>
    <n v="1"/>
    <n v="1"/>
    <x v="0"/>
    <x v="2"/>
  </r>
  <r>
    <x v="13"/>
    <x v="1"/>
    <x v="0"/>
    <n v="546"/>
    <x v="1"/>
    <x v="17"/>
    <n v="3"/>
    <x v="0"/>
    <n v="1"/>
    <n v="934"/>
    <n v="2"/>
    <x v="1"/>
    <x v="21"/>
    <n v="3"/>
    <n v="1"/>
    <x v="2"/>
    <n v="2"/>
    <x v="2"/>
    <x v="641"/>
    <n v="6896"/>
    <n v="1"/>
    <s v="Y"/>
    <x v="1"/>
    <n v="14"/>
    <n v="3"/>
    <n v="2"/>
    <n v="80"/>
    <n v="2"/>
    <n v="1"/>
    <n v="3"/>
    <n v="3"/>
    <n v="1"/>
    <n v="0"/>
    <x v="1"/>
    <x v="2"/>
  </r>
  <r>
    <x v="19"/>
    <x v="1"/>
    <x v="0"/>
    <n v="462"/>
    <x v="0"/>
    <x v="24"/>
    <n v="2"/>
    <x v="2"/>
    <n v="1"/>
    <n v="936"/>
    <n v="3"/>
    <x v="0"/>
    <x v="67"/>
    <n v="2"/>
    <n v="2"/>
    <x v="0"/>
    <n v="3"/>
    <x v="0"/>
    <x v="642"/>
    <n v="7824"/>
    <n v="7"/>
    <s v="Y"/>
    <x v="1"/>
    <n v="17"/>
    <n v="3"/>
    <n v="1"/>
    <n v="80"/>
    <n v="0"/>
    <n v="10"/>
    <n v="6"/>
    <n v="3"/>
    <n v="5"/>
    <n v="4"/>
    <x v="0"/>
    <x v="6"/>
  </r>
  <r>
    <x v="3"/>
    <x v="1"/>
    <x v="0"/>
    <n v="1198"/>
    <x v="1"/>
    <x v="0"/>
    <n v="4"/>
    <x v="1"/>
    <n v="1"/>
    <n v="939"/>
    <n v="3"/>
    <x v="1"/>
    <x v="54"/>
    <n v="2"/>
    <n v="1"/>
    <x v="1"/>
    <n v="1"/>
    <x v="0"/>
    <x v="643"/>
    <n v="3339"/>
    <n v="3"/>
    <s v="Y"/>
    <x v="0"/>
    <n v="11"/>
    <n v="3"/>
    <n v="2"/>
    <n v="80"/>
    <n v="0"/>
    <n v="6"/>
    <n v="1"/>
    <n v="3"/>
    <n v="3"/>
    <n v="2"/>
    <x v="0"/>
    <x v="3"/>
  </r>
  <r>
    <x v="34"/>
    <x v="1"/>
    <x v="0"/>
    <n v="1272"/>
    <x v="1"/>
    <x v="12"/>
    <n v="3"/>
    <x v="4"/>
    <n v="1"/>
    <n v="940"/>
    <n v="3"/>
    <x v="0"/>
    <x v="31"/>
    <n v="2"/>
    <n v="3"/>
    <x v="4"/>
    <n v="2"/>
    <x v="2"/>
    <x v="644"/>
    <n v="9255"/>
    <n v="2"/>
    <s v="Y"/>
    <x v="0"/>
    <n v="13"/>
    <n v="3"/>
    <n v="4"/>
    <n v="80"/>
    <n v="1"/>
    <n v="24"/>
    <n v="3"/>
    <n v="3"/>
    <n v="6"/>
    <n v="0"/>
    <x v="0"/>
    <x v="10"/>
  </r>
  <r>
    <x v="12"/>
    <x v="1"/>
    <x v="0"/>
    <n v="154"/>
    <x v="0"/>
    <x v="15"/>
    <n v="4"/>
    <x v="0"/>
    <n v="1"/>
    <n v="941"/>
    <n v="2"/>
    <x v="1"/>
    <x v="26"/>
    <n v="2"/>
    <n v="1"/>
    <x v="6"/>
    <n v="3"/>
    <x v="1"/>
    <x v="645"/>
    <n v="11737"/>
    <n v="3"/>
    <s v="Y"/>
    <x v="1"/>
    <n v="15"/>
    <n v="3"/>
    <n v="2"/>
    <n v="80"/>
    <n v="0"/>
    <n v="13"/>
    <n v="2"/>
    <n v="4"/>
    <n v="7"/>
    <n v="7"/>
    <x v="8"/>
    <x v="3"/>
  </r>
  <r>
    <x v="10"/>
    <x v="1"/>
    <x v="0"/>
    <n v="1137"/>
    <x v="1"/>
    <x v="11"/>
    <n v="1"/>
    <x v="0"/>
    <n v="1"/>
    <n v="942"/>
    <n v="4"/>
    <x v="0"/>
    <x v="14"/>
    <n v="3"/>
    <n v="2"/>
    <x v="4"/>
    <n v="4"/>
    <x v="1"/>
    <x v="55"/>
    <n v="19170"/>
    <n v="1"/>
    <s v="Y"/>
    <x v="0"/>
    <n v="25"/>
    <n v="4"/>
    <n v="4"/>
    <n v="80"/>
    <n v="1"/>
    <n v="10"/>
    <n v="2"/>
    <n v="1"/>
    <n v="10"/>
    <n v="6"/>
    <x v="0"/>
    <x v="1"/>
  </r>
  <r>
    <x v="1"/>
    <x v="1"/>
    <x v="0"/>
    <n v="527"/>
    <x v="1"/>
    <x v="1"/>
    <n v="2"/>
    <x v="1"/>
    <n v="1"/>
    <n v="944"/>
    <n v="1"/>
    <x v="0"/>
    <x v="14"/>
    <n v="3"/>
    <n v="3"/>
    <x v="2"/>
    <n v="2"/>
    <x v="1"/>
    <x v="646"/>
    <n v="22477"/>
    <n v="4"/>
    <s v="Y"/>
    <x v="1"/>
    <n v="11"/>
    <n v="3"/>
    <n v="3"/>
    <n v="80"/>
    <n v="1"/>
    <n v="29"/>
    <n v="3"/>
    <n v="2"/>
    <n v="26"/>
    <n v="9"/>
    <x v="1"/>
    <x v="1"/>
  </r>
  <r>
    <x v="26"/>
    <x v="1"/>
    <x v="0"/>
    <n v="1469"/>
    <x v="1"/>
    <x v="25"/>
    <n v="4"/>
    <x v="2"/>
    <n v="1"/>
    <n v="945"/>
    <n v="4"/>
    <x v="1"/>
    <x v="14"/>
    <n v="3"/>
    <n v="1"/>
    <x v="1"/>
    <n v="3"/>
    <x v="1"/>
    <x v="647"/>
    <n v="5543"/>
    <n v="4"/>
    <s v="Y"/>
    <x v="1"/>
    <n v="17"/>
    <n v="3"/>
    <n v="1"/>
    <n v="80"/>
    <n v="2"/>
    <n v="13"/>
    <n v="2"/>
    <n v="2"/>
    <n v="0"/>
    <n v="0"/>
    <x v="0"/>
    <x v="2"/>
  </r>
  <r>
    <x v="12"/>
    <x v="1"/>
    <x v="2"/>
    <n v="1188"/>
    <x v="0"/>
    <x v="25"/>
    <n v="2"/>
    <x v="3"/>
    <n v="1"/>
    <n v="947"/>
    <n v="4"/>
    <x v="0"/>
    <x v="18"/>
    <n v="3"/>
    <n v="2"/>
    <x v="0"/>
    <n v="3"/>
    <x v="1"/>
    <x v="648"/>
    <n v="24406"/>
    <n v="1"/>
    <s v="Y"/>
    <x v="1"/>
    <n v="13"/>
    <n v="3"/>
    <n v="4"/>
    <n v="80"/>
    <n v="1"/>
    <n v="9"/>
    <n v="2"/>
    <n v="2"/>
    <n v="9"/>
    <n v="8"/>
    <x v="0"/>
    <x v="2"/>
  </r>
  <r>
    <x v="9"/>
    <x v="1"/>
    <x v="0"/>
    <n v="188"/>
    <x v="1"/>
    <x v="15"/>
    <n v="4"/>
    <x v="1"/>
    <n v="1"/>
    <n v="949"/>
    <n v="2"/>
    <x v="1"/>
    <x v="63"/>
    <n v="3"/>
    <n v="1"/>
    <x v="1"/>
    <n v="4"/>
    <x v="0"/>
    <x v="649"/>
    <n v="23293"/>
    <n v="2"/>
    <s v="Y"/>
    <x v="1"/>
    <n v="18"/>
    <n v="3"/>
    <n v="3"/>
    <n v="80"/>
    <n v="0"/>
    <n v="8"/>
    <n v="6"/>
    <n v="3"/>
    <n v="6"/>
    <n v="2"/>
    <x v="0"/>
    <x v="9"/>
  </r>
  <r>
    <x v="8"/>
    <x v="1"/>
    <x v="0"/>
    <n v="1333"/>
    <x v="1"/>
    <x v="0"/>
    <n v="3"/>
    <x v="4"/>
    <n v="1"/>
    <n v="950"/>
    <n v="4"/>
    <x v="0"/>
    <x v="15"/>
    <n v="3"/>
    <n v="3"/>
    <x v="7"/>
    <n v="1"/>
    <x v="1"/>
    <x v="650"/>
    <n v="16292"/>
    <n v="1"/>
    <s v="Y"/>
    <x v="1"/>
    <n v="13"/>
    <n v="3"/>
    <n v="2"/>
    <n v="80"/>
    <n v="1"/>
    <n v="15"/>
    <n v="3"/>
    <n v="3"/>
    <n v="15"/>
    <n v="12"/>
    <x v="8"/>
    <x v="7"/>
  </r>
  <r>
    <x v="5"/>
    <x v="1"/>
    <x v="2"/>
    <n v="1184"/>
    <x v="1"/>
    <x v="0"/>
    <n v="3"/>
    <x v="0"/>
    <n v="1"/>
    <n v="951"/>
    <n v="3"/>
    <x v="0"/>
    <x v="49"/>
    <n v="2"/>
    <n v="1"/>
    <x v="2"/>
    <n v="2"/>
    <x v="1"/>
    <x v="651"/>
    <n v="3974"/>
    <n v="6"/>
    <s v="Y"/>
    <x v="1"/>
    <n v="20"/>
    <n v="4"/>
    <n v="3"/>
    <n v="80"/>
    <n v="0"/>
    <n v="5"/>
    <n v="3"/>
    <n v="3"/>
    <n v="3"/>
    <n v="0"/>
    <x v="0"/>
    <x v="3"/>
  </r>
  <r>
    <x v="36"/>
    <x v="0"/>
    <x v="0"/>
    <n v="867"/>
    <x v="0"/>
    <x v="10"/>
    <n v="2"/>
    <x v="3"/>
    <n v="1"/>
    <n v="952"/>
    <n v="3"/>
    <x v="1"/>
    <x v="34"/>
    <n v="2"/>
    <n v="1"/>
    <x v="6"/>
    <n v="2"/>
    <x v="1"/>
    <x v="652"/>
    <n v="18798"/>
    <n v="1"/>
    <s v="Y"/>
    <x v="0"/>
    <n v="18"/>
    <n v="3"/>
    <n v="3"/>
    <n v="80"/>
    <n v="3"/>
    <n v="1"/>
    <n v="2"/>
    <n v="3"/>
    <n v="1"/>
    <n v="0"/>
    <x v="0"/>
    <x v="2"/>
  </r>
  <r>
    <x v="32"/>
    <x v="1"/>
    <x v="0"/>
    <n v="658"/>
    <x v="0"/>
    <x v="17"/>
    <n v="4"/>
    <x v="3"/>
    <n v="1"/>
    <n v="954"/>
    <n v="1"/>
    <x v="1"/>
    <x v="7"/>
    <n v="2"/>
    <n v="3"/>
    <x v="0"/>
    <n v="2"/>
    <x v="2"/>
    <x v="653"/>
    <n v="20652"/>
    <n v="2"/>
    <s v="Y"/>
    <x v="1"/>
    <n v="12"/>
    <n v="3"/>
    <n v="2"/>
    <n v="80"/>
    <n v="1"/>
    <n v="11"/>
    <n v="2"/>
    <n v="2"/>
    <n v="1"/>
    <n v="0"/>
    <x v="0"/>
    <x v="2"/>
  </r>
  <r>
    <x v="25"/>
    <x v="1"/>
    <x v="1"/>
    <n v="1283"/>
    <x v="0"/>
    <x v="0"/>
    <n v="3"/>
    <x v="2"/>
    <n v="1"/>
    <n v="956"/>
    <n v="3"/>
    <x v="1"/>
    <x v="48"/>
    <n v="2"/>
    <n v="2"/>
    <x v="0"/>
    <n v="1"/>
    <x v="0"/>
    <x v="654"/>
    <n v="11148"/>
    <n v="1"/>
    <s v="Y"/>
    <x v="1"/>
    <n v="12"/>
    <n v="3"/>
    <n v="2"/>
    <n v="80"/>
    <n v="0"/>
    <n v="7"/>
    <n v="2"/>
    <n v="3"/>
    <n v="7"/>
    <n v="7"/>
    <x v="0"/>
    <x v="1"/>
  </r>
  <r>
    <x v="0"/>
    <x v="1"/>
    <x v="0"/>
    <n v="263"/>
    <x v="1"/>
    <x v="16"/>
    <n v="3"/>
    <x v="2"/>
    <n v="1"/>
    <n v="957"/>
    <n v="4"/>
    <x v="1"/>
    <x v="40"/>
    <n v="3"/>
    <n v="1"/>
    <x v="2"/>
    <n v="1"/>
    <x v="0"/>
    <x v="655"/>
    <n v="3119"/>
    <n v="2"/>
    <s v="Y"/>
    <x v="0"/>
    <n v="13"/>
    <n v="3"/>
    <n v="3"/>
    <n v="80"/>
    <n v="0"/>
    <n v="20"/>
    <n v="3"/>
    <n v="3"/>
    <n v="18"/>
    <n v="13"/>
    <x v="3"/>
    <x v="8"/>
  </r>
  <r>
    <x v="9"/>
    <x v="1"/>
    <x v="0"/>
    <n v="938"/>
    <x v="1"/>
    <x v="2"/>
    <n v="4"/>
    <x v="2"/>
    <n v="1"/>
    <n v="958"/>
    <n v="3"/>
    <x v="1"/>
    <x v="5"/>
    <n v="3"/>
    <n v="1"/>
    <x v="2"/>
    <n v="3"/>
    <x v="0"/>
    <x v="656"/>
    <n v="12287"/>
    <n v="4"/>
    <s v="Y"/>
    <x v="1"/>
    <n v="21"/>
    <n v="4"/>
    <n v="3"/>
    <n v="80"/>
    <n v="0"/>
    <n v="16"/>
    <n v="6"/>
    <n v="3"/>
    <n v="11"/>
    <n v="8"/>
    <x v="2"/>
    <x v="12"/>
  </r>
  <r>
    <x v="37"/>
    <x v="0"/>
    <x v="0"/>
    <n v="419"/>
    <x v="0"/>
    <x v="11"/>
    <n v="3"/>
    <x v="1"/>
    <n v="1"/>
    <n v="959"/>
    <n v="4"/>
    <x v="1"/>
    <x v="31"/>
    <n v="2"/>
    <n v="1"/>
    <x v="6"/>
    <n v="2"/>
    <x v="0"/>
    <x v="657"/>
    <n v="9947"/>
    <n v="1"/>
    <s v="Y"/>
    <x v="0"/>
    <n v="13"/>
    <n v="3"/>
    <n v="2"/>
    <n v="80"/>
    <n v="0"/>
    <n v="1"/>
    <n v="3"/>
    <n v="4"/>
    <n v="1"/>
    <n v="0"/>
    <x v="0"/>
    <x v="2"/>
  </r>
  <r>
    <x v="35"/>
    <x v="0"/>
    <x v="0"/>
    <n v="129"/>
    <x v="1"/>
    <x v="18"/>
    <n v="3"/>
    <x v="4"/>
    <n v="1"/>
    <n v="960"/>
    <n v="1"/>
    <x v="1"/>
    <x v="9"/>
    <n v="3"/>
    <n v="1"/>
    <x v="2"/>
    <n v="1"/>
    <x v="0"/>
    <x v="620"/>
    <n v="13008"/>
    <n v="1"/>
    <s v="Y"/>
    <x v="1"/>
    <n v="19"/>
    <n v="3"/>
    <n v="2"/>
    <n v="80"/>
    <n v="0"/>
    <n v="1"/>
    <n v="2"/>
    <n v="3"/>
    <n v="1"/>
    <n v="0"/>
    <x v="0"/>
    <x v="2"/>
  </r>
  <r>
    <x v="12"/>
    <x v="1"/>
    <x v="0"/>
    <n v="616"/>
    <x v="1"/>
    <x v="20"/>
    <n v="3"/>
    <x v="2"/>
    <n v="1"/>
    <n v="961"/>
    <n v="4"/>
    <x v="0"/>
    <x v="26"/>
    <n v="3"/>
    <n v="2"/>
    <x v="4"/>
    <n v="4"/>
    <x v="1"/>
    <x v="658"/>
    <n v="17369"/>
    <n v="0"/>
    <s v="Y"/>
    <x v="0"/>
    <n v="11"/>
    <n v="3"/>
    <n v="3"/>
    <n v="80"/>
    <n v="2"/>
    <n v="10"/>
    <n v="2"/>
    <n v="1"/>
    <n v="9"/>
    <n v="7"/>
    <x v="6"/>
    <x v="0"/>
  </r>
  <r>
    <x v="32"/>
    <x v="1"/>
    <x v="1"/>
    <n v="1469"/>
    <x v="1"/>
    <x v="14"/>
    <n v="4"/>
    <x v="2"/>
    <n v="1"/>
    <n v="964"/>
    <n v="4"/>
    <x v="1"/>
    <x v="58"/>
    <n v="3"/>
    <n v="1"/>
    <x v="1"/>
    <n v="2"/>
    <x v="2"/>
    <x v="659"/>
    <n v="25063"/>
    <n v="8"/>
    <s v="Y"/>
    <x v="0"/>
    <n v="14"/>
    <n v="3"/>
    <n v="4"/>
    <n v="80"/>
    <n v="1"/>
    <n v="3"/>
    <n v="2"/>
    <n v="3"/>
    <n v="1"/>
    <n v="1"/>
    <x v="0"/>
    <x v="2"/>
  </r>
  <r>
    <x v="5"/>
    <x v="1"/>
    <x v="0"/>
    <n v="498"/>
    <x v="1"/>
    <x v="3"/>
    <n v="4"/>
    <x v="2"/>
    <n v="1"/>
    <n v="966"/>
    <n v="3"/>
    <x v="0"/>
    <x v="12"/>
    <n v="3"/>
    <n v="2"/>
    <x v="3"/>
    <n v="1"/>
    <x v="1"/>
    <x v="660"/>
    <n v="13554"/>
    <n v="1"/>
    <s v="Y"/>
    <x v="1"/>
    <n v="12"/>
    <n v="3"/>
    <n v="3"/>
    <n v="80"/>
    <n v="1"/>
    <n v="8"/>
    <n v="2"/>
    <n v="4"/>
    <n v="8"/>
    <n v="7"/>
    <x v="7"/>
    <x v="6"/>
  </r>
  <r>
    <x v="9"/>
    <x v="0"/>
    <x v="0"/>
    <n v="530"/>
    <x v="0"/>
    <x v="3"/>
    <n v="1"/>
    <x v="0"/>
    <n v="1"/>
    <n v="967"/>
    <n v="3"/>
    <x v="1"/>
    <x v="14"/>
    <n v="2"/>
    <n v="3"/>
    <x v="0"/>
    <n v="4"/>
    <x v="1"/>
    <x v="661"/>
    <n v="5518"/>
    <n v="1"/>
    <s v="Y"/>
    <x v="0"/>
    <n v="11"/>
    <n v="3"/>
    <n v="1"/>
    <n v="80"/>
    <n v="1"/>
    <n v="16"/>
    <n v="6"/>
    <n v="3"/>
    <n v="16"/>
    <n v="7"/>
    <x v="2"/>
    <x v="1"/>
  </r>
  <r>
    <x v="3"/>
    <x v="1"/>
    <x v="0"/>
    <n v="1069"/>
    <x v="1"/>
    <x v="0"/>
    <n v="3"/>
    <x v="0"/>
    <n v="1"/>
    <n v="969"/>
    <n v="2"/>
    <x v="0"/>
    <x v="25"/>
    <n v="2"/>
    <n v="2"/>
    <x v="4"/>
    <n v="4"/>
    <x v="0"/>
    <x v="662"/>
    <n v="12291"/>
    <n v="0"/>
    <s v="Y"/>
    <x v="1"/>
    <n v="14"/>
    <n v="3"/>
    <n v="1"/>
    <n v="80"/>
    <n v="0"/>
    <n v="6"/>
    <n v="3"/>
    <n v="3"/>
    <n v="5"/>
    <n v="0"/>
    <x v="1"/>
    <x v="10"/>
  </r>
  <r>
    <x v="2"/>
    <x v="0"/>
    <x v="0"/>
    <n v="625"/>
    <x v="0"/>
    <x v="0"/>
    <n v="4"/>
    <x v="0"/>
    <n v="1"/>
    <n v="970"/>
    <n v="1"/>
    <x v="1"/>
    <x v="55"/>
    <n v="2"/>
    <n v="3"/>
    <x v="0"/>
    <n v="3"/>
    <x v="1"/>
    <x v="219"/>
    <n v="14922"/>
    <n v="5"/>
    <s v="Y"/>
    <x v="1"/>
    <n v="11"/>
    <n v="3"/>
    <n v="3"/>
    <n v="80"/>
    <n v="0"/>
    <n v="17"/>
    <n v="2"/>
    <n v="1"/>
    <n v="14"/>
    <n v="1"/>
    <x v="14"/>
    <x v="1"/>
  </r>
  <r>
    <x v="28"/>
    <x v="1"/>
    <x v="2"/>
    <n v="805"/>
    <x v="1"/>
    <x v="18"/>
    <n v="2"/>
    <x v="0"/>
    <n v="1"/>
    <n v="972"/>
    <n v="3"/>
    <x v="1"/>
    <x v="42"/>
    <n v="3"/>
    <n v="2"/>
    <x v="2"/>
    <n v="2"/>
    <x v="1"/>
    <x v="663"/>
    <n v="23163"/>
    <n v="1"/>
    <s v="Y"/>
    <x v="1"/>
    <n v="12"/>
    <n v="3"/>
    <n v="2"/>
    <n v="80"/>
    <n v="0"/>
    <n v="9"/>
    <n v="5"/>
    <n v="2"/>
    <n v="9"/>
    <n v="7"/>
    <x v="0"/>
    <x v="5"/>
  </r>
  <r>
    <x v="11"/>
    <x v="1"/>
    <x v="1"/>
    <n v="1404"/>
    <x v="0"/>
    <x v="25"/>
    <n v="3"/>
    <x v="4"/>
    <n v="1"/>
    <n v="974"/>
    <n v="3"/>
    <x v="0"/>
    <x v="9"/>
    <n v="3"/>
    <n v="1"/>
    <x v="6"/>
    <n v="4"/>
    <x v="1"/>
    <x v="664"/>
    <n v="18203"/>
    <n v="1"/>
    <s v="Y"/>
    <x v="1"/>
    <n v="15"/>
    <n v="3"/>
    <n v="2"/>
    <n v="80"/>
    <n v="1"/>
    <n v="3"/>
    <n v="5"/>
    <n v="3"/>
    <n v="3"/>
    <n v="1"/>
    <x v="0"/>
    <x v="3"/>
  </r>
  <r>
    <x v="10"/>
    <x v="1"/>
    <x v="0"/>
    <n v="1219"/>
    <x v="0"/>
    <x v="21"/>
    <n v="3"/>
    <x v="2"/>
    <n v="1"/>
    <n v="975"/>
    <n v="3"/>
    <x v="0"/>
    <x v="27"/>
    <n v="3"/>
    <n v="2"/>
    <x v="0"/>
    <n v="3"/>
    <x v="1"/>
    <x v="665"/>
    <n v="6179"/>
    <n v="1"/>
    <s v="Y"/>
    <x v="1"/>
    <n v="16"/>
    <n v="3"/>
    <n v="2"/>
    <n v="80"/>
    <n v="0"/>
    <n v="5"/>
    <n v="3"/>
    <n v="3"/>
    <n v="5"/>
    <n v="2"/>
    <x v="1"/>
    <x v="2"/>
  </r>
  <r>
    <x v="39"/>
    <x v="1"/>
    <x v="0"/>
    <n v="1053"/>
    <x v="1"/>
    <x v="0"/>
    <n v="2"/>
    <x v="0"/>
    <n v="1"/>
    <n v="976"/>
    <n v="4"/>
    <x v="1"/>
    <x v="49"/>
    <n v="3"/>
    <n v="4"/>
    <x v="5"/>
    <n v="4"/>
    <x v="1"/>
    <x v="666"/>
    <n v="13829"/>
    <n v="2"/>
    <s v="Y"/>
    <x v="1"/>
    <n v="15"/>
    <n v="3"/>
    <n v="2"/>
    <n v="80"/>
    <n v="1"/>
    <n v="26"/>
    <n v="2"/>
    <n v="2"/>
    <n v="9"/>
    <n v="8"/>
    <x v="4"/>
    <x v="5"/>
  </r>
  <r>
    <x v="34"/>
    <x v="0"/>
    <x v="0"/>
    <n v="289"/>
    <x v="1"/>
    <x v="2"/>
    <n v="3"/>
    <x v="4"/>
    <n v="1"/>
    <n v="977"/>
    <n v="4"/>
    <x v="1"/>
    <x v="14"/>
    <n v="3"/>
    <n v="1"/>
    <x v="1"/>
    <n v="3"/>
    <x v="0"/>
    <x v="667"/>
    <n v="26227"/>
    <n v="4"/>
    <s v="Y"/>
    <x v="1"/>
    <n v="24"/>
    <n v="4"/>
    <n v="1"/>
    <n v="80"/>
    <n v="0"/>
    <n v="7"/>
    <n v="4"/>
    <n v="3"/>
    <n v="1"/>
    <n v="0"/>
    <x v="0"/>
    <x v="2"/>
  </r>
  <r>
    <x v="16"/>
    <x v="1"/>
    <x v="0"/>
    <n v="1376"/>
    <x v="0"/>
    <x v="2"/>
    <n v="2"/>
    <x v="2"/>
    <n v="1"/>
    <n v="981"/>
    <n v="3"/>
    <x v="1"/>
    <x v="18"/>
    <n v="3"/>
    <n v="4"/>
    <x v="5"/>
    <n v="3"/>
    <x v="2"/>
    <x v="668"/>
    <n v="13938"/>
    <n v="6"/>
    <s v="Y"/>
    <x v="1"/>
    <n v="13"/>
    <n v="3"/>
    <n v="3"/>
    <n v="80"/>
    <n v="1"/>
    <n v="22"/>
    <n v="3"/>
    <n v="4"/>
    <n v="17"/>
    <n v="13"/>
    <x v="9"/>
    <x v="3"/>
  </r>
  <r>
    <x v="7"/>
    <x v="1"/>
    <x v="0"/>
    <n v="231"/>
    <x v="0"/>
    <x v="1"/>
    <n v="2"/>
    <x v="1"/>
    <n v="1"/>
    <n v="982"/>
    <n v="3"/>
    <x v="1"/>
    <x v="50"/>
    <n v="3"/>
    <n v="3"/>
    <x v="0"/>
    <n v="3"/>
    <x v="2"/>
    <x v="669"/>
    <n v="9977"/>
    <n v="5"/>
    <s v="Y"/>
    <x v="1"/>
    <n v="11"/>
    <n v="3"/>
    <n v="1"/>
    <n v="80"/>
    <n v="1"/>
    <n v="10"/>
    <n v="2"/>
    <n v="4"/>
    <n v="8"/>
    <n v="4"/>
    <x v="4"/>
    <x v="1"/>
  </r>
  <r>
    <x v="8"/>
    <x v="1"/>
    <x v="2"/>
    <n v="152"/>
    <x v="0"/>
    <x v="17"/>
    <n v="3"/>
    <x v="4"/>
    <n v="1"/>
    <n v="983"/>
    <n v="3"/>
    <x v="0"/>
    <x v="65"/>
    <n v="3"/>
    <n v="2"/>
    <x v="0"/>
    <n v="4"/>
    <x v="0"/>
    <x v="670"/>
    <n v="19899"/>
    <n v="1"/>
    <s v="Y"/>
    <x v="0"/>
    <n v="13"/>
    <n v="3"/>
    <n v="2"/>
    <n v="80"/>
    <n v="0"/>
    <n v="6"/>
    <n v="1"/>
    <n v="3"/>
    <n v="5"/>
    <n v="3"/>
    <x v="1"/>
    <x v="6"/>
  </r>
  <r>
    <x v="10"/>
    <x v="1"/>
    <x v="0"/>
    <n v="882"/>
    <x v="0"/>
    <x v="3"/>
    <n v="4"/>
    <x v="0"/>
    <n v="1"/>
    <n v="984"/>
    <n v="4"/>
    <x v="1"/>
    <x v="2"/>
    <n v="3"/>
    <n v="3"/>
    <x v="0"/>
    <n v="4"/>
    <x v="2"/>
    <x v="671"/>
    <n v="6812"/>
    <n v="6"/>
    <s v="Y"/>
    <x v="1"/>
    <n v="13"/>
    <n v="3"/>
    <n v="2"/>
    <n v="80"/>
    <n v="1"/>
    <n v="12"/>
    <n v="2"/>
    <n v="3"/>
    <n v="10"/>
    <n v="9"/>
    <x v="0"/>
    <x v="5"/>
  </r>
  <r>
    <x v="22"/>
    <x v="1"/>
    <x v="0"/>
    <n v="903"/>
    <x v="0"/>
    <x v="2"/>
    <n v="5"/>
    <x v="0"/>
    <n v="1"/>
    <n v="985"/>
    <n v="1"/>
    <x v="1"/>
    <x v="26"/>
    <n v="4"/>
    <n v="3"/>
    <x v="0"/>
    <n v="3"/>
    <x v="0"/>
    <x v="672"/>
    <n v="2560"/>
    <n v="0"/>
    <s v="Y"/>
    <x v="1"/>
    <n v="18"/>
    <n v="3"/>
    <n v="4"/>
    <n v="80"/>
    <n v="0"/>
    <n v="9"/>
    <n v="3"/>
    <n v="3"/>
    <n v="8"/>
    <n v="7"/>
    <x v="0"/>
    <x v="1"/>
  </r>
  <r>
    <x v="32"/>
    <x v="0"/>
    <x v="2"/>
    <n v="1479"/>
    <x v="0"/>
    <x v="4"/>
    <n v="3"/>
    <x v="0"/>
    <n v="1"/>
    <n v="986"/>
    <n v="2"/>
    <x v="0"/>
    <x v="54"/>
    <n v="4"/>
    <n v="4"/>
    <x v="0"/>
    <n v="2"/>
    <x v="0"/>
    <x v="673"/>
    <n v="17071"/>
    <n v="4"/>
    <s v="Y"/>
    <x v="0"/>
    <n v="16"/>
    <n v="3"/>
    <n v="4"/>
    <n v="80"/>
    <n v="0"/>
    <n v="22"/>
    <n v="2"/>
    <n v="2"/>
    <n v="1"/>
    <n v="0"/>
    <x v="0"/>
    <x v="2"/>
  </r>
  <r>
    <x v="40"/>
    <x v="1"/>
    <x v="1"/>
    <n v="1379"/>
    <x v="1"/>
    <x v="7"/>
    <n v="4"/>
    <x v="2"/>
    <n v="1"/>
    <n v="987"/>
    <n v="3"/>
    <x v="1"/>
    <x v="51"/>
    <n v="4"/>
    <n v="2"/>
    <x v="3"/>
    <n v="3"/>
    <x v="2"/>
    <x v="674"/>
    <n v="6759"/>
    <n v="1"/>
    <s v="Y"/>
    <x v="0"/>
    <n v="19"/>
    <n v="3"/>
    <n v="3"/>
    <n v="80"/>
    <n v="0"/>
    <n v="20"/>
    <n v="3"/>
    <n v="4"/>
    <n v="19"/>
    <n v="10"/>
    <x v="3"/>
    <x v="1"/>
  </r>
  <r>
    <x v="9"/>
    <x v="1"/>
    <x v="2"/>
    <n v="1229"/>
    <x v="0"/>
    <x v="1"/>
    <n v="4"/>
    <x v="4"/>
    <n v="1"/>
    <n v="990"/>
    <n v="1"/>
    <x v="1"/>
    <x v="9"/>
    <n v="3"/>
    <n v="2"/>
    <x v="0"/>
    <n v="4"/>
    <x v="2"/>
    <x v="675"/>
    <n v="25952"/>
    <n v="4"/>
    <s v="Y"/>
    <x v="1"/>
    <n v="13"/>
    <n v="3"/>
    <n v="4"/>
    <n v="80"/>
    <n v="2"/>
    <n v="12"/>
    <n v="3"/>
    <n v="3"/>
    <n v="7"/>
    <n v="7"/>
    <x v="0"/>
    <x v="1"/>
  </r>
  <r>
    <x v="12"/>
    <x v="0"/>
    <x v="2"/>
    <n v="335"/>
    <x v="1"/>
    <x v="14"/>
    <n v="2"/>
    <x v="2"/>
    <n v="1"/>
    <n v="991"/>
    <n v="3"/>
    <x v="1"/>
    <x v="55"/>
    <n v="2"/>
    <n v="1"/>
    <x v="1"/>
    <n v="1"/>
    <x v="0"/>
    <x v="676"/>
    <n v="10322"/>
    <n v="0"/>
    <s v="Y"/>
    <x v="0"/>
    <n v="22"/>
    <n v="4"/>
    <n v="1"/>
    <n v="80"/>
    <n v="0"/>
    <n v="4"/>
    <n v="0"/>
    <n v="3"/>
    <n v="3"/>
    <n v="2"/>
    <x v="1"/>
    <x v="3"/>
  </r>
  <r>
    <x v="3"/>
    <x v="1"/>
    <x v="2"/>
    <n v="722"/>
    <x v="0"/>
    <x v="27"/>
    <n v="3"/>
    <x v="0"/>
    <n v="1"/>
    <n v="992"/>
    <n v="4"/>
    <x v="1"/>
    <x v="70"/>
    <n v="3"/>
    <n v="4"/>
    <x v="5"/>
    <n v="3"/>
    <x v="0"/>
    <x v="677"/>
    <n v="20489"/>
    <n v="1"/>
    <s v="Y"/>
    <x v="1"/>
    <n v="11"/>
    <n v="3"/>
    <n v="4"/>
    <n v="80"/>
    <n v="0"/>
    <n v="10"/>
    <n v="2"/>
    <n v="3"/>
    <n v="10"/>
    <n v="8"/>
    <x v="7"/>
    <x v="2"/>
  </r>
  <r>
    <x v="11"/>
    <x v="0"/>
    <x v="0"/>
    <n v="906"/>
    <x v="1"/>
    <x v="17"/>
    <n v="3"/>
    <x v="0"/>
    <n v="1"/>
    <n v="994"/>
    <n v="4"/>
    <x v="0"/>
    <x v="2"/>
    <n v="2"/>
    <n v="1"/>
    <x v="1"/>
    <n v="1"/>
    <x v="0"/>
    <x v="639"/>
    <n v="11479"/>
    <n v="6"/>
    <s v="Y"/>
    <x v="0"/>
    <n v="20"/>
    <n v="4"/>
    <n v="3"/>
    <n v="80"/>
    <n v="0"/>
    <n v="3"/>
    <n v="5"/>
    <n v="3"/>
    <n v="0"/>
    <n v="0"/>
    <x v="0"/>
    <x v="2"/>
  </r>
  <r>
    <x v="3"/>
    <x v="1"/>
    <x v="0"/>
    <n v="461"/>
    <x v="1"/>
    <x v="28"/>
    <n v="1"/>
    <x v="0"/>
    <n v="1"/>
    <n v="995"/>
    <n v="2"/>
    <x v="0"/>
    <x v="20"/>
    <n v="3"/>
    <n v="1"/>
    <x v="1"/>
    <n v="4"/>
    <x v="0"/>
    <x v="138"/>
    <n v="17241"/>
    <n v="3"/>
    <s v="Y"/>
    <x v="1"/>
    <n v="18"/>
    <n v="3"/>
    <n v="1"/>
    <n v="80"/>
    <n v="0"/>
    <n v="5"/>
    <n v="4"/>
    <n v="3"/>
    <n v="3"/>
    <n v="2"/>
    <x v="0"/>
    <x v="3"/>
  </r>
  <r>
    <x v="28"/>
    <x v="1"/>
    <x v="0"/>
    <n v="974"/>
    <x v="1"/>
    <x v="0"/>
    <n v="4"/>
    <x v="2"/>
    <n v="1"/>
    <n v="996"/>
    <n v="4"/>
    <x v="0"/>
    <x v="59"/>
    <n v="3"/>
    <n v="1"/>
    <x v="2"/>
    <n v="4"/>
    <x v="2"/>
    <x v="678"/>
    <n v="11005"/>
    <n v="3"/>
    <s v="Y"/>
    <x v="1"/>
    <n v="14"/>
    <n v="3"/>
    <n v="4"/>
    <n v="80"/>
    <n v="2"/>
    <n v="8"/>
    <n v="2"/>
    <n v="3"/>
    <n v="5"/>
    <n v="3"/>
    <x v="0"/>
    <x v="3"/>
  </r>
  <r>
    <x v="24"/>
    <x v="1"/>
    <x v="0"/>
    <n v="1126"/>
    <x v="1"/>
    <x v="0"/>
    <n v="2"/>
    <x v="2"/>
    <n v="1"/>
    <n v="997"/>
    <n v="4"/>
    <x v="1"/>
    <x v="45"/>
    <n v="3"/>
    <n v="4"/>
    <x v="7"/>
    <n v="4"/>
    <x v="2"/>
    <x v="679"/>
    <n v="6615"/>
    <n v="9"/>
    <s v="Y"/>
    <x v="1"/>
    <n v="22"/>
    <n v="4"/>
    <n v="3"/>
    <n v="80"/>
    <n v="1"/>
    <n v="32"/>
    <n v="1"/>
    <n v="2"/>
    <n v="5"/>
    <n v="4"/>
    <x v="1"/>
    <x v="6"/>
  </r>
  <r>
    <x v="3"/>
    <x v="1"/>
    <x v="1"/>
    <n v="827"/>
    <x v="1"/>
    <x v="0"/>
    <n v="4"/>
    <x v="1"/>
    <n v="1"/>
    <n v="998"/>
    <n v="3"/>
    <x v="0"/>
    <x v="9"/>
    <n v="4"/>
    <n v="2"/>
    <x v="4"/>
    <n v="2"/>
    <x v="1"/>
    <x v="680"/>
    <n v="20161"/>
    <n v="1"/>
    <s v="Y"/>
    <x v="0"/>
    <n v="13"/>
    <n v="3"/>
    <n v="1"/>
    <n v="80"/>
    <n v="1"/>
    <n v="6"/>
    <n v="2"/>
    <n v="3"/>
    <n v="6"/>
    <n v="5"/>
    <x v="1"/>
    <x v="3"/>
  </r>
  <r>
    <x v="0"/>
    <x v="1"/>
    <x v="1"/>
    <n v="840"/>
    <x v="1"/>
    <x v="14"/>
    <n v="3"/>
    <x v="2"/>
    <n v="1"/>
    <n v="999"/>
    <n v="1"/>
    <x v="1"/>
    <x v="51"/>
    <n v="3"/>
    <n v="5"/>
    <x v="7"/>
    <n v="3"/>
    <x v="2"/>
    <x v="681"/>
    <n v="3735"/>
    <n v="2"/>
    <s v="Y"/>
    <x v="1"/>
    <n v="17"/>
    <n v="3"/>
    <n v="2"/>
    <n v="80"/>
    <n v="1"/>
    <n v="21"/>
    <n v="2"/>
    <n v="4"/>
    <n v="18"/>
    <n v="16"/>
    <x v="0"/>
    <x v="7"/>
  </r>
  <r>
    <x v="4"/>
    <x v="1"/>
    <x v="0"/>
    <n v="1134"/>
    <x v="1"/>
    <x v="7"/>
    <n v="4"/>
    <x v="4"/>
    <n v="1"/>
    <n v="1001"/>
    <n v="3"/>
    <x v="0"/>
    <x v="31"/>
    <n v="3"/>
    <n v="1"/>
    <x v="2"/>
    <n v="2"/>
    <x v="1"/>
    <x v="682"/>
    <n v="12086"/>
    <n v="9"/>
    <s v="Y"/>
    <x v="1"/>
    <n v="14"/>
    <n v="3"/>
    <n v="2"/>
    <n v="80"/>
    <n v="1"/>
    <n v="4"/>
    <n v="2"/>
    <n v="3"/>
    <n v="2"/>
    <n v="2"/>
    <x v="3"/>
    <x v="3"/>
  </r>
  <r>
    <x v="28"/>
    <x v="1"/>
    <x v="2"/>
    <n v="248"/>
    <x v="1"/>
    <x v="5"/>
    <n v="2"/>
    <x v="0"/>
    <n v="1"/>
    <n v="1002"/>
    <n v="4"/>
    <x v="1"/>
    <x v="25"/>
    <n v="3"/>
    <n v="2"/>
    <x v="2"/>
    <n v="1"/>
    <x v="1"/>
    <x v="683"/>
    <n v="14039"/>
    <n v="1"/>
    <s v="Y"/>
    <x v="0"/>
    <n v="15"/>
    <n v="3"/>
    <n v="3"/>
    <n v="80"/>
    <n v="1"/>
    <n v="9"/>
    <n v="2"/>
    <n v="3"/>
    <n v="9"/>
    <n v="8"/>
    <x v="0"/>
    <x v="5"/>
  </r>
  <r>
    <x v="40"/>
    <x v="1"/>
    <x v="0"/>
    <n v="955"/>
    <x v="0"/>
    <x v="18"/>
    <n v="2"/>
    <x v="0"/>
    <n v="1"/>
    <n v="1003"/>
    <n v="4"/>
    <x v="0"/>
    <x v="21"/>
    <n v="3"/>
    <n v="2"/>
    <x v="0"/>
    <n v="4"/>
    <x v="0"/>
    <x v="684"/>
    <n v="8571"/>
    <n v="1"/>
    <s v="Y"/>
    <x v="0"/>
    <n v="17"/>
    <n v="3"/>
    <n v="3"/>
    <n v="80"/>
    <n v="0"/>
    <n v="9"/>
    <n v="0"/>
    <n v="3"/>
    <n v="9"/>
    <n v="0"/>
    <x v="0"/>
    <x v="1"/>
  </r>
  <r>
    <x v="7"/>
    <x v="0"/>
    <x v="0"/>
    <n v="138"/>
    <x v="1"/>
    <x v="23"/>
    <n v="3"/>
    <x v="0"/>
    <n v="1"/>
    <n v="1004"/>
    <n v="1"/>
    <x v="0"/>
    <x v="24"/>
    <n v="3"/>
    <n v="1"/>
    <x v="1"/>
    <n v="3"/>
    <x v="1"/>
    <x v="685"/>
    <n v="11539"/>
    <n v="4"/>
    <s v="Y"/>
    <x v="0"/>
    <n v="11"/>
    <n v="3"/>
    <n v="2"/>
    <n v="80"/>
    <n v="0"/>
    <n v="7"/>
    <n v="2"/>
    <n v="3"/>
    <n v="5"/>
    <n v="2"/>
    <x v="0"/>
    <x v="9"/>
  </r>
  <r>
    <x v="24"/>
    <x v="1"/>
    <x v="0"/>
    <n v="939"/>
    <x v="1"/>
    <x v="4"/>
    <n v="3"/>
    <x v="0"/>
    <n v="1"/>
    <n v="1005"/>
    <n v="4"/>
    <x v="1"/>
    <x v="41"/>
    <n v="3"/>
    <n v="4"/>
    <x v="3"/>
    <n v="3"/>
    <x v="1"/>
    <x v="686"/>
    <n v="4161"/>
    <n v="3"/>
    <s v="Y"/>
    <x v="0"/>
    <n v="18"/>
    <n v="3"/>
    <n v="4"/>
    <n v="80"/>
    <n v="1"/>
    <n v="22"/>
    <n v="2"/>
    <n v="3"/>
    <n v="12"/>
    <n v="11"/>
    <x v="1"/>
    <x v="0"/>
  </r>
  <r>
    <x v="8"/>
    <x v="1"/>
    <x v="1"/>
    <n v="1391"/>
    <x v="1"/>
    <x v="17"/>
    <n v="1"/>
    <x v="2"/>
    <n v="1"/>
    <n v="1006"/>
    <n v="3"/>
    <x v="1"/>
    <x v="45"/>
    <n v="3"/>
    <n v="1"/>
    <x v="1"/>
    <n v="3"/>
    <x v="1"/>
    <x v="687"/>
    <n v="12127"/>
    <n v="0"/>
    <s v="Y"/>
    <x v="1"/>
    <n v="17"/>
    <n v="3"/>
    <n v="2"/>
    <n v="80"/>
    <n v="1"/>
    <n v="3"/>
    <n v="0"/>
    <n v="2"/>
    <n v="2"/>
    <n v="1"/>
    <x v="0"/>
    <x v="3"/>
  </r>
  <r>
    <x v="21"/>
    <x v="1"/>
    <x v="0"/>
    <n v="566"/>
    <x v="1"/>
    <x v="15"/>
    <n v="2"/>
    <x v="2"/>
    <n v="1"/>
    <n v="1007"/>
    <n v="4"/>
    <x v="1"/>
    <x v="29"/>
    <n v="3"/>
    <n v="3"/>
    <x v="3"/>
    <n v="3"/>
    <x v="2"/>
    <x v="688"/>
    <n v="24208"/>
    <n v="6"/>
    <s v="Y"/>
    <x v="1"/>
    <n v="13"/>
    <n v="3"/>
    <n v="2"/>
    <n v="80"/>
    <n v="1"/>
    <n v="13"/>
    <n v="3"/>
    <n v="3"/>
    <n v="8"/>
    <n v="7"/>
    <x v="0"/>
    <x v="1"/>
  </r>
  <r>
    <x v="17"/>
    <x v="1"/>
    <x v="0"/>
    <n v="1206"/>
    <x v="1"/>
    <x v="27"/>
    <n v="1"/>
    <x v="2"/>
    <n v="1"/>
    <n v="1009"/>
    <n v="4"/>
    <x v="0"/>
    <x v="26"/>
    <n v="2"/>
    <n v="2"/>
    <x v="3"/>
    <n v="3"/>
    <x v="2"/>
    <x v="689"/>
    <n v="24117"/>
    <n v="1"/>
    <s v="Y"/>
    <x v="1"/>
    <n v="15"/>
    <n v="3"/>
    <n v="2"/>
    <n v="80"/>
    <n v="2"/>
    <n v="5"/>
    <n v="6"/>
    <n v="3"/>
    <n v="4"/>
    <n v="2"/>
    <x v="2"/>
    <x v="3"/>
  </r>
  <r>
    <x v="10"/>
    <x v="0"/>
    <x v="0"/>
    <n v="622"/>
    <x v="1"/>
    <x v="24"/>
    <n v="4"/>
    <x v="1"/>
    <n v="1"/>
    <n v="1010"/>
    <n v="3"/>
    <x v="1"/>
    <x v="56"/>
    <n v="2"/>
    <n v="1"/>
    <x v="2"/>
    <n v="2"/>
    <x v="2"/>
    <x v="690"/>
    <n v="10074"/>
    <n v="1"/>
    <s v="Y"/>
    <x v="0"/>
    <n v="24"/>
    <n v="4"/>
    <n v="4"/>
    <n v="80"/>
    <n v="1"/>
    <n v="5"/>
    <n v="2"/>
    <n v="1"/>
    <n v="4"/>
    <n v="2"/>
    <x v="0"/>
    <x v="3"/>
  </r>
  <r>
    <x v="12"/>
    <x v="1"/>
    <x v="1"/>
    <n v="853"/>
    <x v="1"/>
    <x v="0"/>
    <n v="1"/>
    <x v="0"/>
    <n v="1"/>
    <n v="1011"/>
    <n v="3"/>
    <x v="0"/>
    <x v="16"/>
    <n v="3"/>
    <n v="2"/>
    <x v="3"/>
    <n v="1"/>
    <x v="1"/>
    <x v="691"/>
    <n v="11275"/>
    <n v="1"/>
    <s v="Y"/>
    <x v="1"/>
    <n v="12"/>
    <n v="3"/>
    <n v="3"/>
    <n v="80"/>
    <n v="1"/>
    <n v="4"/>
    <n v="1"/>
    <n v="3"/>
    <n v="4"/>
    <n v="3"/>
    <x v="0"/>
    <x v="6"/>
  </r>
  <r>
    <x v="41"/>
    <x v="1"/>
    <x v="2"/>
    <n v="287"/>
    <x v="1"/>
    <x v="12"/>
    <n v="2"/>
    <x v="0"/>
    <n v="1"/>
    <n v="1012"/>
    <n v="2"/>
    <x v="1"/>
    <x v="32"/>
    <n v="3"/>
    <n v="1"/>
    <x v="1"/>
    <n v="4"/>
    <x v="0"/>
    <x v="692"/>
    <n v="13493"/>
    <n v="1"/>
    <s v="Y"/>
    <x v="1"/>
    <n v="15"/>
    <n v="3"/>
    <n v="4"/>
    <n v="80"/>
    <n v="0"/>
    <n v="0"/>
    <n v="2"/>
    <n v="3"/>
    <n v="0"/>
    <n v="0"/>
    <x v="0"/>
    <x v="2"/>
  </r>
  <r>
    <x v="33"/>
    <x v="1"/>
    <x v="0"/>
    <n v="1441"/>
    <x v="1"/>
    <x v="27"/>
    <n v="3"/>
    <x v="4"/>
    <n v="1"/>
    <n v="1013"/>
    <n v="3"/>
    <x v="0"/>
    <x v="3"/>
    <n v="3"/>
    <n v="3"/>
    <x v="3"/>
    <n v="3"/>
    <x v="1"/>
    <x v="693"/>
    <n v="13943"/>
    <n v="8"/>
    <s v="Y"/>
    <x v="1"/>
    <n v="11"/>
    <n v="3"/>
    <n v="3"/>
    <n v="80"/>
    <n v="1"/>
    <n v="22"/>
    <n v="2"/>
    <n v="3"/>
    <n v="10"/>
    <n v="7"/>
    <x v="0"/>
    <x v="5"/>
  </r>
  <r>
    <x v="10"/>
    <x v="1"/>
    <x v="0"/>
    <n v="583"/>
    <x v="1"/>
    <x v="19"/>
    <n v="4"/>
    <x v="2"/>
    <n v="1"/>
    <n v="1014"/>
    <n v="3"/>
    <x v="0"/>
    <x v="42"/>
    <n v="3"/>
    <n v="3"/>
    <x v="4"/>
    <n v="3"/>
    <x v="2"/>
    <x v="694"/>
    <n v="6975"/>
    <n v="1"/>
    <s v="Y"/>
    <x v="0"/>
    <n v="11"/>
    <n v="3"/>
    <n v="3"/>
    <n v="80"/>
    <n v="1"/>
    <n v="16"/>
    <n v="3"/>
    <n v="2"/>
    <n v="16"/>
    <n v="10"/>
    <x v="13"/>
    <x v="9"/>
  </r>
  <r>
    <x v="7"/>
    <x v="1"/>
    <x v="0"/>
    <n v="153"/>
    <x v="1"/>
    <x v="1"/>
    <n v="2"/>
    <x v="0"/>
    <n v="1"/>
    <n v="1015"/>
    <n v="2"/>
    <x v="0"/>
    <x v="32"/>
    <n v="4"/>
    <n v="3"/>
    <x v="7"/>
    <n v="1"/>
    <x v="1"/>
    <x v="695"/>
    <n v="17802"/>
    <n v="0"/>
    <s v="Y"/>
    <x v="0"/>
    <n v="12"/>
    <n v="3"/>
    <n v="3"/>
    <n v="80"/>
    <n v="3"/>
    <n v="9"/>
    <n v="4"/>
    <n v="2"/>
    <n v="8"/>
    <n v="7"/>
    <x v="1"/>
    <x v="1"/>
  </r>
  <r>
    <x v="35"/>
    <x v="0"/>
    <x v="0"/>
    <n v="1097"/>
    <x v="1"/>
    <x v="13"/>
    <n v="3"/>
    <x v="2"/>
    <n v="1"/>
    <n v="1016"/>
    <n v="4"/>
    <x v="0"/>
    <x v="33"/>
    <n v="2"/>
    <n v="1"/>
    <x v="1"/>
    <n v="1"/>
    <x v="0"/>
    <x v="696"/>
    <n v="18275"/>
    <n v="1"/>
    <s v="Y"/>
    <x v="0"/>
    <n v="15"/>
    <n v="3"/>
    <n v="1"/>
    <n v="80"/>
    <n v="0"/>
    <n v="1"/>
    <n v="2"/>
    <n v="3"/>
    <n v="1"/>
    <n v="0"/>
    <x v="0"/>
    <x v="2"/>
  </r>
  <r>
    <x v="7"/>
    <x v="0"/>
    <x v="1"/>
    <n v="109"/>
    <x v="1"/>
    <x v="12"/>
    <n v="3"/>
    <x v="2"/>
    <n v="1"/>
    <n v="1017"/>
    <n v="2"/>
    <x v="0"/>
    <x v="53"/>
    <n v="3"/>
    <n v="1"/>
    <x v="2"/>
    <n v="2"/>
    <x v="0"/>
    <x v="697"/>
    <n v="25725"/>
    <n v="0"/>
    <s v="Y"/>
    <x v="1"/>
    <n v="17"/>
    <n v="3"/>
    <n v="1"/>
    <n v="80"/>
    <n v="0"/>
    <n v="4"/>
    <n v="3"/>
    <n v="3"/>
    <n v="3"/>
    <n v="2"/>
    <x v="1"/>
    <x v="3"/>
  </r>
  <r>
    <x v="25"/>
    <x v="1"/>
    <x v="0"/>
    <n v="1066"/>
    <x v="1"/>
    <x v="2"/>
    <n v="2"/>
    <x v="2"/>
    <n v="1"/>
    <n v="1018"/>
    <n v="4"/>
    <x v="1"/>
    <x v="47"/>
    <n v="4"/>
    <n v="2"/>
    <x v="3"/>
    <n v="4"/>
    <x v="1"/>
    <x v="698"/>
    <n v="3334"/>
    <n v="1"/>
    <s v="Y"/>
    <x v="1"/>
    <n v="12"/>
    <n v="3"/>
    <n v="2"/>
    <n v="80"/>
    <n v="0"/>
    <n v="8"/>
    <n v="2"/>
    <n v="3"/>
    <n v="8"/>
    <n v="7"/>
    <x v="1"/>
    <x v="6"/>
  </r>
  <r>
    <x v="15"/>
    <x v="1"/>
    <x v="0"/>
    <n v="217"/>
    <x v="1"/>
    <x v="1"/>
    <n v="1"/>
    <x v="0"/>
    <n v="1"/>
    <n v="1019"/>
    <n v="2"/>
    <x v="1"/>
    <x v="0"/>
    <n v="1"/>
    <n v="1"/>
    <x v="2"/>
    <n v="1"/>
    <x v="1"/>
    <x v="163"/>
    <n v="6881"/>
    <n v="1"/>
    <s v="Y"/>
    <x v="1"/>
    <n v="15"/>
    <n v="3"/>
    <n v="1"/>
    <n v="80"/>
    <n v="1"/>
    <n v="4"/>
    <n v="3"/>
    <n v="2"/>
    <n v="4"/>
    <n v="3"/>
    <x v="1"/>
    <x v="9"/>
  </r>
  <r>
    <x v="26"/>
    <x v="1"/>
    <x v="0"/>
    <n v="277"/>
    <x v="1"/>
    <x v="16"/>
    <n v="3"/>
    <x v="0"/>
    <n v="1"/>
    <n v="1022"/>
    <n v="1"/>
    <x v="1"/>
    <x v="28"/>
    <n v="2"/>
    <n v="2"/>
    <x v="4"/>
    <n v="3"/>
    <x v="0"/>
    <x v="699"/>
    <n v="13119"/>
    <n v="2"/>
    <s v="Y"/>
    <x v="1"/>
    <n v="13"/>
    <n v="3"/>
    <n v="4"/>
    <n v="80"/>
    <n v="0"/>
    <n v="19"/>
    <n v="0"/>
    <n v="3"/>
    <n v="2"/>
    <n v="2"/>
    <x v="3"/>
    <x v="3"/>
  </r>
  <r>
    <x v="26"/>
    <x v="1"/>
    <x v="0"/>
    <n v="1355"/>
    <x v="1"/>
    <x v="18"/>
    <n v="4"/>
    <x v="0"/>
    <n v="1"/>
    <n v="1024"/>
    <n v="3"/>
    <x v="1"/>
    <x v="17"/>
    <n v="2"/>
    <n v="3"/>
    <x v="4"/>
    <n v="3"/>
    <x v="0"/>
    <x v="700"/>
    <n v="22245"/>
    <n v="7"/>
    <s v="Y"/>
    <x v="1"/>
    <n v="14"/>
    <n v="3"/>
    <n v="2"/>
    <n v="80"/>
    <n v="0"/>
    <n v="27"/>
    <n v="3"/>
    <n v="3"/>
    <n v="15"/>
    <n v="11"/>
    <x v="5"/>
    <x v="5"/>
  </r>
  <r>
    <x v="0"/>
    <x v="1"/>
    <x v="0"/>
    <n v="549"/>
    <x v="1"/>
    <x v="15"/>
    <n v="2"/>
    <x v="2"/>
    <n v="1"/>
    <n v="1025"/>
    <n v="4"/>
    <x v="0"/>
    <x v="25"/>
    <n v="3"/>
    <n v="2"/>
    <x v="3"/>
    <n v="3"/>
    <x v="0"/>
    <x v="701"/>
    <n v="23371"/>
    <n v="6"/>
    <s v="Y"/>
    <x v="1"/>
    <n v="14"/>
    <n v="3"/>
    <n v="2"/>
    <n v="80"/>
    <n v="0"/>
    <n v="8"/>
    <n v="6"/>
    <n v="3"/>
    <n v="2"/>
    <n v="2"/>
    <x v="3"/>
    <x v="9"/>
  </r>
  <r>
    <x v="22"/>
    <x v="1"/>
    <x v="0"/>
    <n v="466"/>
    <x v="1"/>
    <x v="0"/>
    <n v="1"/>
    <x v="0"/>
    <n v="1"/>
    <n v="1026"/>
    <n v="4"/>
    <x v="0"/>
    <x v="63"/>
    <n v="2"/>
    <n v="4"/>
    <x v="3"/>
    <n v="4"/>
    <x v="1"/>
    <x v="702"/>
    <n v="7060"/>
    <n v="1"/>
    <s v="Y"/>
    <x v="1"/>
    <n v="16"/>
    <n v="3"/>
    <n v="3"/>
    <n v="80"/>
    <n v="1"/>
    <n v="21"/>
    <n v="3"/>
    <n v="3"/>
    <n v="21"/>
    <n v="6"/>
    <x v="14"/>
    <x v="5"/>
  </r>
  <r>
    <x v="4"/>
    <x v="1"/>
    <x v="0"/>
    <n v="1055"/>
    <x v="1"/>
    <x v="2"/>
    <n v="4"/>
    <x v="0"/>
    <n v="1"/>
    <n v="1027"/>
    <n v="1"/>
    <x v="0"/>
    <x v="35"/>
    <n v="3"/>
    <n v="2"/>
    <x v="3"/>
    <n v="4"/>
    <x v="1"/>
    <x v="703"/>
    <n v="4658"/>
    <n v="0"/>
    <s v="Y"/>
    <x v="1"/>
    <n v="18"/>
    <n v="3"/>
    <n v="2"/>
    <n v="80"/>
    <n v="1"/>
    <n v="4"/>
    <n v="2"/>
    <n v="3"/>
    <n v="3"/>
    <n v="2"/>
    <x v="3"/>
    <x v="3"/>
  </r>
  <r>
    <x v="10"/>
    <x v="1"/>
    <x v="0"/>
    <n v="802"/>
    <x v="1"/>
    <x v="17"/>
    <n v="3"/>
    <x v="1"/>
    <n v="1"/>
    <n v="1028"/>
    <n v="2"/>
    <x v="1"/>
    <x v="18"/>
    <n v="3"/>
    <n v="1"/>
    <x v="2"/>
    <n v="4"/>
    <x v="2"/>
    <x v="704"/>
    <n v="9541"/>
    <n v="1"/>
    <s v="Y"/>
    <x v="1"/>
    <n v="20"/>
    <n v="4"/>
    <n v="1"/>
    <n v="80"/>
    <n v="1"/>
    <n v="3"/>
    <n v="4"/>
    <n v="2"/>
    <n v="3"/>
    <n v="2"/>
    <x v="1"/>
    <x v="3"/>
  </r>
  <r>
    <x v="19"/>
    <x v="1"/>
    <x v="0"/>
    <n v="265"/>
    <x v="0"/>
    <x v="12"/>
    <n v="2"/>
    <x v="3"/>
    <n v="1"/>
    <n v="1029"/>
    <n v="4"/>
    <x v="1"/>
    <x v="62"/>
    <n v="3"/>
    <n v="5"/>
    <x v="5"/>
    <n v="3"/>
    <x v="1"/>
    <x v="705"/>
    <n v="7770"/>
    <n v="6"/>
    <s v="Y"/>
    <x v="1"/>
    <n v="13"/>
    <n v="3"/>
    <n v="2"/>
    <n v="80"/>
    <n v="0"/>
    <n v="21"/>
    <n v="3"/>
    <n v="4"/>
    <n v="1"/>
    <n v="0"/>
    <x v="0"/>
    <x v="2"/>
  </r>
  <r>
    <x v="24"/>
    <x v="1"/>
    <x v="0"/>
    <n v="804"/>
    <x v="1"/>
    <x v="14"/>
    <n v="3"/>
    <x v="0"/>
    <n v="1"/>
    <n v="1030"/>
    <n v="1"/>
    <x v="1"/>
    <x v="51"/>
    <n v="3"/>
    <n v="1"/>
    <x v="2"/>
    <n v="4"/>
    <x v="1"/>
    <x v="631"/>
    <n v="20165"/>
    <n v="4"/>
    <s v="Y"/>
    <x v="1"/>
    <n v="18"/>
    <n v="3"/>
    <n v="2"/>
    <n v="80"/>
    <n v="0"/>
    <n v="8"/>
    <n v="5"/>
    <n v="3"/>
    <n v="1"/>
    <n v="0"/>
    <x v="0"/>
    <x v="2"/>
  </r>
  <r>
    <x v="6"/>
    <x v="1"/>
    <x v="0"/>
    <n v="715"/>
    <x v="1"/>
    <x v="2"/>
    <n v="3"/>
    <x v="0"/>
    <n v="1"/>
    <n v="1032"/>
    <n v="3"/>
    <x v="0"/>
    <x v="68"/>
    <n v="2"/>
    <n v="4"/>
    <x v="3"/>
    <n v="4"/>
    <x v="0"/>
    <x v="706"/>
    <n v="21829"/>
    <n v="3"/>
    <s v="Y"/>
    <x v="0"/>
    <n v="13"/>
    <n v="3"/>
    <n v="1"/>
    <n v="80"/>
    <n v="0"/>
    <n v="30"/>
    <n v="4"/>
    <n v="3"/>
    <n v="5"/>
    <n v="3"/>
    <x v="5"/>
    <x v="6"/>
  </r>
  <r>
    <x v="2"/>
    <x v="0"/>
    <x v="0"/>
    <n v="1141"/>
    <x v="1"/>
    <x v="13"/>
    <n v="2"/>
    <x v="2"/>
    <n v="1"/>
    <n v="1033"/>
    <n v="1"/>
    <x v="0"/>
    <x v="1"/>
    <n v="1"/>
    <n v="2"/>
    <x v="4"/>
    <n v="2"/>
    <x v="1"/>
    <x v="707"/>
    <n v="14382"/>
    <n v="5"/>
    <s v="Y"/>
    <x v="1"/>
    <n v="15"/>
    <n v="3"/>
    <n v="1"/>
    <n v="80"/>
    <n v="0"/>
    <n v="15"/>
    <n v="2"/>
    <n v="1"/>
    <n v="1"/>
    <n v="0"/>
    <x v="0"/>
    <x v="2"/>
  </r>
  <r>
    <x v="27"/>
    <x v="1"/>
    <x v="1"/>
    <n v="135"/>
    <x v="1"/>
    <x v="21"/>
    <n v="4"/>
    <x v="2"/>
    <n v="1"/>
    <n v="1034"/>
    <n v="3"/>
    <x v="1"/>
    <x v="50"/>
    <n v="3"/>
    <n v="2"/>
    <x v="4"/>
    <n v="2"/>
    <x v="1"/>
    <x v="708"/>
    <n v="12992"/>
    <n v="3"/>
    <s v="Y"/>
    <x v="0"/>
    <n v="14"/>
    <n v="3"/>
    <n v="4"/>
    <n v="80"/>
    <n v="2"/>
    <n v="17"/>
    <n v="3"/>
    <n v="3"/>
    <n v="8"/>
    <n v="7"/>
    <x v="7"/>
    <x v="1"/>
  </r>
  <r>
    <x v="0"/>
    <x v="1"/>
    <x v="2"/>
    <n v="247"/>
    <x v="1"/>
    <x v="15"/>
    <n v="1"/>
    <x v="0"/>
    <n v="1"/>
    <n v="1035"/>
    <n v="2"/>
    <x v="0"/>
    <x v="46"/>
    <n v="1"/>
    <n v="5"/>
    <x v="7"/>
    <n v="3"/>
    <x v="2"/>
    <x v="709"/>
    <n v="20284"/>
    <n v="1"/>
    <s v="Y"/>
    <x v="1"/>
    <n v="22"/>
    <n v="4"/>
    <n v="2"/>
    <n v="80"/>
    <n v="2"/>
    <n v="21"/>
    <n v="3"/>
    <n v="3"/>
    <n v="21"/>
    <n v="16"/>
    <x v="8"/>
    <x v="13"/>
  </r>
  <r>
    <x v="8"/>
    <x v="1"/>
    <x v="0"/>
    <n v="1035"/>
    <x v="0"/>
    <x v="3"/>
    <n v="4"/>
    <x v="0"/>
    <n v="1"/>
    <n v="1036"/>
    <n v="2"/>
    <x v="1"/>
    <x v="25"/>
    <n v="3"/>
    <n v="2"/>
    <x v="0"/>
    <n v="4"/>
    <x v="0"/>
    <x v="710"/>
    <n v="4981"/>
    <n v="8"/>
    <s v="Y"/>
    <x v="0"/>
    <n v="12"/>
    <n v="3"/>
    <n v="3"/>
    <n v="80"/>
    <n v="0"/>
    <n v="19"/>
    <n v="1"/>
    <n v="3"/>
    <n v="1"/>
    <n v="0"/>
    <x v="0"/>
    <x v="2"/>
  </r>
  <r>
    <x v="25"/>
    <x v="0"/>
    <x v="2"/>
    <n v="265"/>
    <x v="0"/>
    <x v="22"/>
    <n v="2"/>
    <x v="2"/>
    <n v="1"/>
    <n v="1037"/>
    <n v="2"/>
    <x v="1"/>
    <x v="5"/>
    <n v="1"/>
    <n v="2"/>
    <x v="0"/>
    <n v="1"/>
    <x v="0"/>
    <x v="711"/>
    <n v="21813"/>
    <n v="8"/>
    <s v="Y"/>
    <x v="1"/>
    <n v="18"/>
    <n v="3"/>
    <n v="4"/>
    <n v="80"/>
    <n v="0"/>
    <n v="7"/>
    <n v="6"/>
    <n v="3"/>
    <n v="2"/>
    <n v="2"/>
    <x v="3"/>
    <x v="3"/>
  </r>
  <r>
    <x v="39"/>
    <x v="0"/>
    <x v="0"/>
    <n v="266"/>
    <x v="0"/>
    <x v="2"/>
    <n v="1"/>
    <x v="3"/>
    <n v="1"/>
    <n v="1038"/>
    <n v="1"/>
    <x v="0"/>
    <x v="42"/>
    <n v="1"/>
    <n v="5"/>
    <x v="5"/>
    <n v="4"/>
    <x v="1"/>
    <x v="712"/>
    <n v="25846"/>
    <n v="1"/>
    <s v="Y"/>
    <x v="1"/>
    <n v="15"/>
    <n v="3"/>
    <n v="4"/>
    <n v="80"/>
    <n v="1"/>
    <n v="33"/>
    <n v="3"/>
    <n v="3"/>
    <n v="32"/>
    <n v="14"/>
    <x v="7"/>
    <x v="12"/>
  </r>
  <r>
    <x v="20"/>
    <x v="1"/>
    <x v="0"/>
    <n v="1448"/>
    <x v="0"/>
    <x v="26"/>
    <n v="3"/>
    <x v="2"/>
    <n v="1"/>
    <n v="1039"/>
    <n v="4"/>
    <x v="0"/>
    <x v="20"/>
    <n v="4"/>
    <n v="4"/>
    <x v="0"/>
    <n v="4"/>
    <x v="1"/>
    <x v="713"/>
    <n v="11737"/>
    <n v="3"/>
    <s v="Y"/>
    <x v="0"/>
    <n v="18"/>
    <n v="3"/>
    <n v="3"/>
    <n v="80"/>
    <n v="1"/>
    <n v="23"/>
    <n v="2"/>
    <n v="3"/>
    <n v="12"/>
    <n v="11"/>
    <x v="14"/>
    <x v="7"/>
  </r>
  <r>
    <x v="24"/>
    <x v="1"/>
    <x v="2"/>
    <n v="145"/>
    <x v="0"/>
    <x v="0"/>
    <n v="3"/>
    <x v="0"/>
    <n v="1"/>
    <n v="1040"/>
    <n v="4"/>
    <x v="0"/>
    <x v="41"/>
    <n v="3"/>
    <n v="2"/>
    <x v="0"/>
    <n v="3"/>
    <x v="1"/>
    <x v="136"/>
    <n v="24920"/>
    <n v="0"/>
    <s v="Y"/>
    <x v="1"/>
    <n v="12"/>
    <n v="3"/>
    <n v="1"/>
    <n v="80"/>
    <n v="1"/>
    <n v="19"/>
    <n v="3"/>
    <n v="3"/>
    <n v="18"/>
    <n v="7"/>
    <x v="0"/>
    <x v="15"/>
  </r>
  <r>
    <x v="9"/>
    <x v="0"/>
    <x v="0"/>
    <n v="885"/>
    <x v="1"/>
    <x v="7"/>
    <n v="4"/>
    <x v="0"/>
    <n v="1"/>
    <n v="1042"/>
    <n v="3"/>
    <x v="0"/>
    <x v="38"/>
    <n v="4"/>
    <n v="1"/>
    <x v="2"/>
    <n v="1"/>
    <x v="0"/>
    <x v="714"/>
    <n v="8269"/>
    <n v="1"/>
    <s v="Y"/>
    <x v="1"/>
    <n v="16"/>
    <n v="3"/>
    <n v="3"/>
    <n v="80"/>
    <n v="0"/>
    <n v="18"/>
    <n v="1"/>
    <n v="3"/>
    <n v="17"/>
    <n v="13"/>
    <x v="9"/>
    <x v="17"/>
  </r>
  <r>
    <x v="22"/>
    <x v="1"/>
    <x v="1"/>
    <n v="945"/>
    <x v="1"/>
    <x v="23"/>
    <n v="3"/>
    <x v="2"/>
    <n v="1"/>
    <n v="1043"/>
    <n v="4"/>
    <x v="0"/>
    <x v="19"/>
    <n v="3"/>
    <n v="3"/>
    <x v="3"/>
    <n v="1"/>
    <x v="0"/>
    <x v="715"/>
    <n v="5083"/>
    <n v="1"/>
    <s v="Y"/>
    <x v="0"/>
    <n v="13"/>
    <n v="3"/>
    <n v="3"/>
    <n v="80"/>
    <n v="0"/>
    <n v="21"/>
    <n v="2"/>
    <n v="3"/>
    <n v="21"/>
    <n v="6"/>
    <x v="3"/>
    <x v="5"/>
  </r>
  <r>
    <x v="3"/>
    <x v="1"/>
    <x v="2"/>
    <n v="1038"/>
    <x v="0"/>
    <x v="1"/>
    <n v="1"/>
    <x v="0"/>
    <n v="1"/>
    <n v="1044"/>
    <n v="2"/>
    <x v="0"/>
    <x v="64"/>
    <n v="2"/>
    <n v="1"/>
    <x v="6"/>
    <n v="4"/>
    <x v="0"/>
    <x v="531"/>
    <n v="21437"/>
    <n v="0"/>
    <s v="Y"/>
    <x v="1"/>
    <n v="19"/>
    <n v="3"/>
    <n v="4"/>
    <n v="80"/>
    <n v="0"/>
    <n v="3"/>
    <n v="2"/>
    <n v="2"/>
    <n v="2"/>
    <n v="2"/>
    <x v="3"/>
    <x v="3"/>
  </r>
  <r>
    <x v="28"/>
    <x v="1"/>
    <x v="0"/>
    <n v="1234"/>
    <x v="0"/>
    <x v="13"/>
    <n v="2"/>
    <x v="0"/>
    <n v="1"/>
    <n v="1045"/>
    <n v="4"/>
    <x v="0"/>
    <x v="62"/>
    <n v="3"/>
    <n v="4"/>
    <x v="5"/>
    <n v="4"/>
    <x v="1"/>
    <x v="716"/>
    <n v="5404"/>
    <n v="3"/>
    <s v="Y"/>
    <x v="1"/>
    <n v="13"/>
    <n v="3"/>
    <n v="2"/>
    <n v="80"/>
    <n v="1"/>
    <n v="26"/>
    <n v="4"/>
    <n v="4"/>
    <n v="9"/>
    <n v="3"/>
    <x v="1"/>
    <x v="9"/>
  </r>
  <r>
    <x v="5"/>
    <x v="1"/>
    <x v="2"/>
    <n v="1109"/>
    <x v="1"/>
    <x v="22"/>
    <n v="4"/>
    <x v="2"/>
    <n v="1"/>
    <n v="1046"/>
    <n v="4"/>
    <x v="0"/>
    <x v="68"/>
    <n v="3"/>
    <n v="1"/>
    <x v="2"/>
    <n v="3"/>
    <x v="0"/>
    <x v="717"/>
    <n v="11135"/>
    <n v="9"/>
    <s v="Y"/>
    <x v="1"/>
    <n v="12"/>
    <n v="3"/>
    <n v="2"/>
    <n v="80"/>
    <n v="0"/>
    <n v="10"/>
    <n v="2"/>
    <n v="3"/>
    <n v="8"/>
    <n v="7"/>
    <x v="4"/>
    <x v="1"/>
  </r>
  <r>
    <x v="13"/>
    <x v="1"/>
    <x v="0"/>
    <n v="216"/>
    <x v="0"/>
    <x v="0"/>
    <n v="4"/>
    <x v="3"/>
    <n v="1"/>
    <n v="1047"/>
    <n v="2"/>
    <x v="1"/>
    <x v="29"/>
    <n v="4"/>
    <n v="2"/>
    <x v="0"/>
    <n v="4"/>
    <x v="2"/>
    <x v="718"/>
    <n v="12278"/>
    <n v="0"/>
    <s v="Y"/>
    <x v="1"/>
    <n v="11"/>
    <n v="3"/>
    <n v="4"/>
    <n v="80"/>
    <n v="1"/>
    <n v="16"/>
    <n v="2"/>
    <n v="2"/>
    <n v="15"/>
    <n v="1"/>
    <x v="0"/>
    <x v="12"/>
  </r>
  <r>
    <x v="6"/>
    <x v="1"/>
    <x v="0"/>
    <n v="1089"/>
    <x v="0"/>
    <x v="0"/>
    <n v="2"/>
    <x v="4"/>
    <n v="1"/>
    <n v="1048"/>
    <n v="2"/>
    <x v="1"/>
    <x v="45"/>
    <n v="3"/>
    <n v="3"/>
    <x v="5"/>
    <n v="4"/>
    <x v="1"/>
    <x v="719"/>
    <n v="11038"/>
    <n v="3"/>
    <s v="Y"/>
    <x v="0"/>
    <n v="14"/>
    <n v="3"/>
    <n v="3"/>
    <n v="80"/>
    <n v="1"/>
    <n v="14"/>
    <n v="1"/>
    <n v="1"/>
    <n v="6"/>
    <n v="4"/>
    <x v="0"/>
    <x v="10"/>
  </r>
  <r>
    <x v="28"/>
    <x v="1"/>
    <x v="0"/>
    <n v="788"/>
    <x v="2"/>
    <x v="4"/>
    <n v="4"/>
    <x v="2"/>
    <n v="1"/>
    <n v="1049"/>
    <n v="2"/>
    <x v="1"/>
    <x v="34"/>
    <n v="3"/>
    <n v="1"/>
    <x v="8"/>
    <n v="2"/>
    <x v="0"/>
    <x v="221"/>
    <n v="8318"/>
    <n v="1"/>
    <s v="Y"/>
    <x v="1"/>
    <n v="16"/>
    <n v="3"/>
    <n v="1"/>
    <n v="80"/>
    <n v="0"/>
    <n v="6"/>
    <n v="3"/>
    <n v="3"/>
    <n v="6"/>
    <n v="3"/>
    <x v="0"/>
    <x v="10"/>
  </r>
  <r>
    <x v="16"/>
    <x v="1"/>
    <x v="1"/>
    <n v="124"/>
    <x v="0"/>
    <x v="2"/>
    <n v="3"/>
    <x v="3"/>
    <n v="1"/>
    <n v="1050"/>
    <n v="3"/>
    <x v="0"/>
    <x v="70"/>
    <n v="2"/>
    <n v="3"/>
    <x v="0"/>
    <n v="2"/>
    <x v="1"/>
    <x v="720"/>
    <n v="23537"/>
    <n v="2"/>
    <s v="Y"/>
    <x v="1"/>
    <n v="12"/>
    <n v="3"/>
    <n v="1"/>
    <n v="80"/>
    <n v="1"/>
    <n v="30"/>
    <n v="2"/>
    <n v="3"/>
    <n v="15"/>
    <n v="7"/>
    <x v="7"/>
    <x v="11"/>
  </r>
  <r>
    <x v="9"/>
    <x v="0"/>
    <x v="0"/>
    <n v="660"/>
    <x v="1"/>
    <x v="8"/>
    <n v="3"/>
    <x v="1"/>
    <n v="1"/>
    <n v="1052"/>
    <n v="1"/>
    <x v="1"/>
    <x v="6"/>
    <n v="3"/>
    <n v="2"/>
    <x v="2"/>
    <n v="3"/>
    <x v="2"/>
    <x v="721"/>
    <n v="7858"/>
    <n v="7"/>
    <s v="Y"/>
    <x v="1"/>
    <n v="14"/>
    <n v="3"/>
    <n v="2"/>
    <n v="80"/>
    <n v="1"/>
    <n v="9"/>
    <n v="3"/>
    <n v="2"/>
    <n v="1"/>
    <n v="0"/>
    <x v="0"/>
    <x v="2"/>
  </r>
  <r>
    <x v="25"/>
    <x v="0"/>
    <x v="1"/>
    <n v="342"/>
    <x v="1"/>
    <x v="2"/>
    <n v="3"/>
    <x v="0"/>
    <n v="1"/>
    <n v="1053"/>
    <n v="1"/>
    <x v="1"/>
    <x v="42"/>
    <n v="3"/>
    <n v="1"/>
    <x v="1"/>
    <n v="1"/>
    <x v="1"/>
    <x v="96"/>
    <n v="15346"/>
    <n v="6"/>
    <s v="Y"/>
    <x v="0"/>
    <n v="14"/>
    <n v="3"/>
    <n v="2"/>
    <n v="80"/>
    <n v="1"/>
    <n v="6"/>
    <n v="2"/>
    <n v="3"/>
    <n v="3"/>
    <n v="2"/>
    <x v="1"/>
    <x v="3"/>
  </r>
  <r>
    <x v="13"/>
    <x v="1"/>
    <x v="0"/>
    <n v="1333"/>
    <x v="0"/>
    <x v="17"/>
    <n v="4"/>
    <x v="0"/>
    <n v="1"/>
    <n v="1055"/>
    <n v="3"/>
    <x v="0"/>
    <x v="44"/>
    <n v="3"/>
    <n v="1"/>
    <x v="6"/>
    <n v="3"/>
    <x v="1"/>
    <x v="722"/>
    <n v="18410"/>
    <n v="1"/>
    <s v="Y"/>
    <x v="0"/>
    <n v="19"/>
    <n v="3"/>
    <n v="4"/>
    <n v="80"/>
    <n v="1"/>
    <n v="1"/>
    <n v="2"/>
    <n v="3"/>
    <n v="1"/>
    <n v="1"/>
    <x v="0"/>
    <x v="2"/>
  </r>
  <r>
    <x v="14"/>
    <x v="1"/>
    <x v="0"/>
    <n v="1144"/>
    <x v="0"/>
    <x v="17"/>
    <n v="1"/>
    <x v="2"/>
    <n v="1"/>
    <n v="1056"/>
    <n v="4"/>
    <x v="1"/>
    <x v="69"/>
    <n v="3"/>
    <n v="1"/>
    <x v="6"/>
    <n v="2"/>
    <x v="1"/>
    <x v="723"/>
    <n v="23384"/>
    <n v="1"/>
    <s v="Y"/>
    <x v="1"/>
    <n v="22"/>
    <n v="4"/>
    <n v="2"/>
    <n v="80"/>
    <n v="0"/>
    <n v="1"/>
    <n v="5"/>
    <n v="3"/>
    <n v="1"/>
    <n v="0"/>
    <x v="0"/>
    <x v="2"/>
  </r>
  <r>
    <x v="8"/>
    <x v="1"/>
    <x v="1"/>
    <n v="1186"/>
    <x v="1"/>
    <x v="3"/>
    <n v="4"/>
    <x v="1"/>
    <n v="1"/>
    <n v="1060"/>
    <n v="3"/>
    <x v="1"/>
    <x v="8"/>
    <n v="3"/>
    <n v="1"/>
    <x v="1"/>
    <n v="3"/>
    <x v="1"/>
    <x v="724"/>
    <n v="2997"/>
    <n v="3"/>
    <s v="Y"/>
    <x v="1"/>
    <n v="16"/>
    <n v="3"/>
    <n v="1"/>
    <n v="80"/>
    <n v="1"/>
    <n v="8"/>
    <n v="2"/>
    <n v="3"/>
    <n v="2"/>
    <n v="2"/>
    <x v="3"/>
    <x v="3"/>
  </r>
  <r>
    <x v="24"/>
    <x v="1"/>
    <x v="0"/>
    <n v="1464"/>
    <x v="1"/>
    <x v="2"/>
    <n v="4"/>
    <x v="2"/>
    <n v="1"/>
    <n v="1061"/>
    <n v="2"/>
    <x v="1"/>
    <x v="50"/>
    <n v="3"/>
    <n v="5"/>
    <x v="7"/>
    <n v="3"/>
    <x v="1"/>
    <x v="725"/>
    <n v="12853"/>
    <n v="2"/>
    <s v="Y"/>
    <x v="0"/>
    <n v="11"/>
    <n v="3"/>
    <n v="4"/>
    <n v="80"/>
    <n v="1"/>
    <n v="29"/>
    <n v="2"/>
    <n v="2"/>
    <n v="8"/>
    <n v="1"/>
    <x v="4"/>
    <x v="1"/>
  </r>
  <r>
    <x v="2"/>
    <x v="1"/>
    <x v="0"/>
    <n v="124"/>
    <x v="1"/>
    <x v="3"/>
    <n v="3"/>
    <x v="1"/>
    <n v="1"/>
    <n v="1062"/>
    <n v="4"/>
    <x v="0"/>
    <x v="58"/>
    <n v="3"/>
    <n v="2"/>
    <x v="4"/>
    <n v="2"/>
    <x v="0"/>
    <x v="726"/>
    <n v="13848"/>
    <n v="3"/>
    <s v="Y"/>
    <x v="1"/>
    <n v="15"/>
    <n v="3"/>
    <n v="1"/>
    <n v="80"/>
    <n v="0"/>
    <n v="8"/>
    <n v="3"/>
    <n v="2"/>
    <n v="4"/>
    <n v="3"/>
    <x v="0"/>
    <x v="9"/>
  </r>
  <r>
    <x v="32"/>
    <x v="1"/>
    <x v="0"/>
    <n v="300"/>
    <x v="0"/>
    <x v="9"/>
    <n v="3"/>
    <x v="3"/>
    <n v="1"/>
    <n v="1066"/>
    <n v="3"/>
    <x v="1"/>
    <x v="69"/>
    <n v="3"/>
    <n v="2"/>
    <x v="0"/>
    <n v="1"/>
    <x v="1"/>
    <x v="727"/>
    <n v="22217"/>
    <n v="1"/>
    <s v="Y"/>
    <x v="1"/>
    <n v="14"/>
    <n v="3"/>
    <n v="2"/>
    <n v="80"/>
    <n v="1"/>
    <n v="8"/>
    <n v="3"/>
    <n v="2"/>
    <n v="7"/>
    <n v="7"/>
    <x v="4"/>
    <x v="0"/>
  </r>
  <r>
    <x v="25"/>
    <x v="1"/>
    <x v="1"/>
    <n v="921"/>
    <x v="1"/>
    <x v="0"/>
    <n v="1"/>
    <x v="2"/>
    <n v="1"/>
    <n v="1068"/>
    <n v="1"/>
    <x v="0"/>
    <x v="45"/>
    <n v="2"/>
    <n v="1"/>
    <x v="1"/>
    <n v="3"/>
    <x v="2"/>
    <x v="728"/>
    <n v="25265"/>
    <n v="1"/>
    <s v="Y"/>
    <x v="1"/>
    <n v="13"/>
    <n v="3"/>
    <n v="3"/>
    <n v="80"/>
    <n v="2"/>
    <n v="5"/>
    <n v="5"/>
    <n v="3"/>
    <n v="5"/>
    <n v="3"/>
    <x v="1"/>
    <x v="6"/>
  </r>
  <r>
    <x v="21"/>
    <x v="1"/>
    <x v="0"/>
    <n v="430"/>
    <x v="1"/>
    <x v="0"/>
    <n v="4"/>
    <x v="2"/>
    <n v="1"/>
    <n v="1069"/>
    <n v="4"/>
    <x v="1"/>
    <x v="4"/>
    <n v="3"/>
    <n v="5"/>
    <x v="7"/>
    <n v="4"/>
    <x v="2"/>
    <x v="729"/>
    <n v="21445"/>
    <n v="9"/>
    <s v="Y"/>
    <x v="1"/>
    <n v="17"/>
    <n v="3"/>
    <n v="4"/>
    <n v="80"/>
    <n v="2"/>
    <n v="23"/>
    <n v="0"/>
    <n v="3"/>
    <n v="2"/>
    <n v="2"/>
    <x v="3"/>
    <x v="3"/>
  </r>
  <r>
    <x v="33"/>
    <x v="1"/>
    <x v="0"/>
    <n v="1082"/>
    <x v="0"/>
    <x v="2"/>
    <n v="4"/>
    <x v="0"/>
    <n v="1"/>
    <n v="1070"/>
    <n v="3"/>
    <x v="0"/>
    <x v="26"/>
    <n v="2"/>
    <n v="3"/>
    <x v="0"/>
    <n v="3"/>
    <x v="1"/>
    <x v="730"/>
    <n v="8392"/>
    <n v="6"/>
    <s v="Y"/>
    <x v="1"/>
    <n v="11"/>
    <n v="3"/>
    <n v="2"/>
    <n v="80"/>
    <n v="1"/>
    <n v="13"/>
    <n v="4"/>
    <n v="3"/>
    <n v="9"/>
    <n v="4"/>
    <x v="4"/>
    <x v="2"/>
  </r>
  <r>
    <x v="29"/>
    <x v="1"/>
    <x v="1"/>
    <n v="1240"/>
    <x v="1"/>
    <x v="14"/>
    <n v="3"/>
    <x v="2"/>
    <n v="1"/>
    <n v="1071"/>
    <n v="1"/>
    <x v="0"/>
    <x v="52"/>
    <n v="3"/>
    <n v="1"/>
    <x v="1"/>
    <n v="3"/>
    <x v="1"/>
    <x v="131"/>
    <n v="12154"/>
    <n v="2"/>
    <s v="Y"/>
    <x v="1"/>
    <n v="19"/>
    <n v="3"/>
    <n v="2"/>
    <n v="80"/>
    <n v="1"/>
    <n v="18"/>
    <n v="4"/>
    <n v="3"/>
    <n v="5"/>
    <n v="4"/>
    <x v="0"/>
    <x v="6"/>
  </r>
  <r>
    <x v="9"/>
    <x v="1"/>
    <x v="0"/>
    <n v="796"/>
    <x v="1"/>
    <x v="20"/>
    <n v="5"/>
    <x v="2"/>
    <n v="1"/>
    <n v="1073"/>
    <n v="4"/>
    <x v="0"/>
    <x v="14"/>
    <n v="2"/>
    <n v="3"/>
    <x v="3"/>
    <n v="4"/>
    <x v="0"/>
    <x v="731"/>
    <n v="15669"/>
    <n v="0"/>
    <s v="Y"/>
    <x v="1"/>
    <n v="11"/>
    <n v="3"/>
    <n v="2"/>
    <n v="80"/>
    <n v="0"/>
    <n v="15"/>
    <n v="2"/>
    <n v="2"/>
    <n v="14"/>
    <n v="8"/>
    <x v="4"/>
    <x v="5"/>
  </r>
  <r>
    <x v="27"/>
    <x v="1"/>
    <x v="2"/>
    <n v="444"/>
    <x v="1"/>
    <x v="2"/>
    <n v="1"/>
    <x v="2"/>
    <n v="1"/>
    <n v="1074"/>
    <n v="3"/>
    <x v="1"/>
    <x v="4"/>
    <n v="2"/>
    <n v="4"/>
    <x v="5"/>
    <n v="1"/>
    <x v="0"/>
    <x v="732"/>
    <n v="17323"/>
    <n v="7"/>
    <s v="Y"/>
    <x v="1"/>
    <n v="15"/>
    <n v="3"/>
    <n v="2"/>
    <n v="80"/>
    <n v="0"/>
    <n v="31"/>
    <n v="3"/>
    <n v="4"/>
    <n v="9"/>
    <n v="7"/>
    <x v="7"/>
    <x v="3"/>
  </r>
  <r>
    <x v="23"/>
    <x v="1"/>
    <x v="0"/>
    <n v="415"/>
    <x v="0"/>
    <x v="19"/>
    <n v="3"/>
    <x v="2"/>
    <n v="1"/>
    <n v="1076"/>
    <n v="3"/>
    <x v="1"/>
    <x v="5"/>
    <n v="2"/>
    <n v="3"/>
    <x v="0"/>
    <n v="4"/>
    <x v="2"/>
    <x v="733"/>
    <n v="5268"/>
    <n v="5"/>
    <s v="Y"/>
    <x v="1"/>
    <n v="13"/>
    <n v="3"/>
    <n v="3"/>
    <n v="80"/>
    <n v="1"/>
    <n v="18"/>
    <n v="5"/>
    <n v="3"/>
    <n v="1"/>
    <n v="0"/>
    <x v="0"/>
    <x v="2"/>
  </r>
  <r>
    <x v="35"/>
    <x v="0"/>
    <x v="1"/>
    <n v="769"/>
    <x v="0"/>
    <x v="14"/>
    <n v="3"/>
    <x v="3"/>
    <n v="1"/>
    <n v="1077"/>
    <n v="4"/>
    <x v="0"/>
    <x v="60"/>
    <n v="3"/>
    <n v="1"/>
    <x v="6"/>
    <n v="4"/>
    <x v="0"/>
    <x v="157"/>
    <n v="17205"/>
    <n v="1"/>
    <s v="Y"/>
    <x v="0"/>
    <n v="14"/>
    <n v="3"/>
    <n v="2"/>
    <n v="80"/>
    <n v="0"/>
    <n v="2"/>
    <n v="3"/>
    <n v="3"/>
    <n v="2"/>
    <n v="2"/>
    <x v="0"/>
    <x v="3"/>
  </r>
  <r>
    <x v="18"/>
    <x v="0"/>
    <x v="0"/>
    <n v="1334"/>
    <x v="1"/>
    <x v="17"/>
    <n v="3"/>
    <x v="0"/>
    <n v="1"/>
    <n v="1079"/>
    <n v="3"/>
    <x v="0"/>
    <x v="34"/>
    <n v="2"/>
    <n v="1"/>
    <x v="2"/>
    <n v="1"/>
    <x v="0"/>
    <x v="734"/>
    <n v="17258"/>
    <n v="1"/>
    <s v="Y"/>
    <x v="1"/>
    <n v="13"/>
    <n v="3"/>
    <n v="1"/>
    <n v="80"/>
    <n v="0"/>
    <n v="1"/>
    <n v="6"/>
    <n v="2"/>
    <n v="1"/>
    <n v="0"/>
    <x v="1"/>
    <x v="2"/>
  </r>
  <r>
    <x v="21"/>
    <x v="1"/>
    <x v="0"/>
    <n v="1003"/>
    <x v="1"/>
    <x v="1"/>
    <n v="4"/>
    <x v="0"/>
    <n v="1"/>
    <n v="1080"/>
    <n v="4"/>
    <x v="0"/>
    <x v="69"/>
    <n v="2"/>
    <n v="2"/>
    <x v="1"/>
    <n v="1"/>
    <x v="2"/>
    <x v="735"/>
    <n v="21029"/>
    <n v="8"/>
    <s v="Y"/>
    <x v="0"/>
    <n v="23"/>
    <n v="4"/>
    <n v="1"/>
    <n v="80"/>
    <n v="3"/>
    <n v="19"/>
    <n v="2"/>
    <n v="3"/>
    <n v="16"/>
    <n v="13"/>
    <x v="1"/>
    <x v="1"/>
  </r>
  <r>
    <x v="31"/>
    <x v="0"/>
    <x v="0"/>
    <n v="1323"/>
    <x v="1"/>
    <x v="18"/>
    <n v="4"/>
    <x v="0"/>
    <n v="1"/>
    <n v="1081"/>
    <n v="1"/>
    <x v="1"/>
    <x v="61"/>
    <n v="3"/>
    <n v="1"/>
    <x v="1"/>
    <n v="3"/>
    <x v="1"/>
    <x v="736"/>
    <n v="10332"/>
    <n v="9"/>
    <s v="Y"/>
    <x v="0"/>
    <n v="12"/>
    <n v="3"/>
    <n v="3"/>
    <n v="80"/>
    <n v="3"/>
    <n v="18"/>
    <n v="2"/>
    <n v="4"/>
    <n v="10"/>
    <n v="0"/>
    <x v="3"/>
    <x v="1"/>
  </r>
  <r>
    <x v="14"/>
    <x v="0"/>
    <x v="2"/>
    <n v="1366"/>
    <x v="1"/>
    <x v="4"/>
    <n v="2"/>
    <x v="4"/>
    <n v="1"/>
    <n v="1082"/>
    <n v="2"/>
    <x v="1"/>
    <x v="23"/>
    <n v="2"/>
    <n v="3"/>
    <x v="4"/>
    <n v="1"/>
    <x v="0"/>
    <x v="737"/>
    <n v="12355"/>
    <n v="1"/>
    <s v="Y"/>
    <x v="1"/>
    <n v="12"/>
    <n v="3"/>
    <n v="1"/>
    <n v="80"/>
    <n v="0"/>
    <n v="10"/>
    <n v="2"/>
    <n v="2"/>
    <n v="10"/>
    <n v="7"/>
    <x v="1"/>
    <x v="12"/>
  </r>
  <r>
    <x v="25"/>
    <x v="1"/>
    <x v="0"/>
    <n v="192"/>
    <x v="1"/>
    <x v="0"/>
    <n v="2"/>
    <x v="2"/>
    <n v="1"/>
    <n v="1083"/>
    <n v="1"/>
    <x v="1"/>
    <x v="40"/>
    <n v="2"/>
    <n v="1"/>
    <x v="2"/>
    <n v="1"/>
    <x v="1"/>
    <x v="738"/>
    <n v="11141"/>
    <n v="1"/>
    <s v="Y"/>
    <x v="1"/>
    <n v="16"/>
    <n v="3"/>
    <n v="1"/>
    <n v="80"/>
    <n v="2"/>
    <n v="6"/>
    <n v="2"/>
    <n v="3"/>
    <n v="5"/>
    <n v="3"/>
    <x v="1"/>
    <x v="6"/>
  </r>
  <r>
    <x v="7"/>
    <x v="1"/>
    <x v="0"/>
    <n v="1176"/>
    <x v="1"/>
    <x v="25"/>
    <n v="3"/>
    <x v="1"/>
    <n v="1"/>
    <n v="1084"/>
    <n v="3"/>
    <x v="1"/>
    <x v="65"/>
    <n v="3"/>
    <n v="2"/>
    <x v="3"/>
    <n v="1"/>
    <x v="1"/>
    <x v="739"/>
    <n v="9096"/>
    <n v="0"/>
    <s v="Y"/>
    <x v="1"/>
    <n v="15"/>
    <n v="3"/>
    <n v="3"/>
    <n v="80"/>
    <n v="1"/>
    <n v="7"/>
    <n v="1"/>
    <n v="2"/>
    <n v="6"/>
    <n v="2"/>
    <x v="0"/>
    <x v="3"/>
  </r>
  <r>
    <x v="0"/>
    <x v="1"/>
    <x v="0"/>
    <n v="509"/>
    <x v="1"/>
    <x v="15"/>
    <n v="2"/>
    <x v="4"/>
    <n v="1"/>
    <n v="1085"/>
    <n v="2"/>
    <x v="0"/>
    <x v="38"/>
    <n v="4"/>
    <n v="1"/>
    <x v="1"/>
    <n v="3"/>
    <x v="1"/>
    <x v="740"/>
    <n v="18863"/>
    <n v="1"/>
    <s v="Y"/>
    <x v="1"/>
    <n v="13"/>
    <n v="3"/>
    <n v="3"/>
    <n v="80"/>
    <n v="0"/>
    <n v="10"/>
    <n v="3"/>
    <n v="3"/>
    <n v="10"/>
    <n v="6"/>
    <x v="0"/>
    <x v="5"/>
  </r>
  <r>
    <x v="8"/>
    <x v="1"/>
    <x v="0"/>
    <n v="330"/>
    <x v="1"/>
    <x v="27"/>
    <n v="1"/>
    <x v="0"/>
    <n v="1"/>
    <n v="1088"/>
    <n v="3"/>
    <x v="0"/>
    <x v="63"/>
    <n v="2"/>
    <n v="3"/>
    <x v="4"/>
    <n v="3"/>
    <x v="1"/>
    <x v="741"/>
    <n v="24608"/>
    <n v="0"/>
    <s v="Y"/>
    <x v="1"/>
    <n v="18"/>
    <n v="3"/>
    <n v="1"/>
    <n v="80"/>
    <n v="1"/>
    <n v="20"/>
    <n v="4"/>
    <n v="2"/>
    <n v="19"/>
    <n v="9"/>
    <x v="1"/>
    <x v="12"/>
  </r>
  <r>
    <x v="32"/>
    <x v="1"/>
    <x v="0"/>
    <n v="1492"/>
    <x v="1"/>
    <x v="25"/>
    <n v="4"/>
    <x v="4"/>
    <n v="1"/>
    <n v="1092"/>
    <n v="1"/>
    <x v="1"/>
    <x v="1"/>
    <n v="3"/>
    <n v="3"/>
    <x v="4"/>
    <n v="4"/>
    <x v="1"/>
    <x v="742"/>
    <n v="26542"/>
    <n v="4"/>
    <s v="Y"/>
    <x v="1"/>
    <n v="20"/>
    <n v="4"/>
    <n v="4"/>
    <n v="80"/>
    <n v="1"/>
    <n v="14"/>
    <n v="6"/>
    <n v="3"/>
    <n v="11"/>
    <n v="10"/>
    <x v="14"/>
    <x v="9"/>
  </r>
  <r>
    <x v="4"/>
    <x v="1"/>
    <x v="2"/>
    <n v="1277"/>
    <x v="1"/>
    <x v="1"/>
    <n v="5"/>
    <x v="0"/>
    <n v="1"/>
    <n v="1094"/>
    <n v="1"/>
    <x v="1"/>
    <x v="44"/>
    <n v="1"/>
    <n v="1"/>
    <x v="2"/>
    <n v="3"/>
    <x v="1"/>
    <x v="743"/>
    <n v="5869"/>
    <n v="1"/>
    <s v="Y"/>
    <x v="1"/>
    <n v="19"/>
    <n v="3"/>
    <n v="4"/>
    <n v="80"/>
    <n v="3"/>
    <n v="3"/>
    <n v="4"/>
    <n v="3"/>
    <n v="3"/>
    <n v="2"/>
    <x v="1"/>
    <x v="3"/>
  </r>
  <r>
    <x v="27"/>
    <x v="1"/>
    <x v="1"/>
    <n v="1091"/>
    <x v="1"/>
    <x v="2"/>
    <n v="1"/>
    <x v="0"/>
    <n v="1"/>
    <n v="1096"/>
    <n v="4"/>
    <x v="1"/>
    <x v="63"/>
    <n v="3"/>
    <n v="3"/>
    <x v="3"/>
    <n v="2"/>
    <x v="1"/>
    <x v="744"/>
    <n v="15813"/>
    <n v="3"/>
    <s v="Y"/>
    <x v="1"/>
    <n v="18"/>
    <n v="3"/>
    <n v="2"/>
    <n v="80"/>
    <n v="1"/>
    <n v="23"/>
    <n v="4"/>
    <n v="3"/>
    <n v="3"/>
    <n v="2"/>
    <x v="1"/>
    <x v="3"/>
  </r>
  <r>
    <x v="14"/>
    <x v="1"/>
    <x v="0"/>
    <n v="857"/>
    <x v="1"/>
    <x v="17"/>
    <n v="3"/>
    <x v="1"/>
    <n v="1"/>
    <n v="1097"/>
    <n v="3"/>
    <x v="0"/>
    <x v="40"/>
    <n v="3"/>
    <n v="2"/>
    <x v="1"/>
    <n v="3"/>
    <x v="0"/>
    <x v="745"/>
    <n v="7909"/>
    <n v="3"/>
    <s v="Y"/>
    <x v="1"/>
    <n v="13"/>
    <n v="3"/>
    <n v="4"/>
    <n v="80"/>
    <n v="0"/>
    <n v="10"/>
    <n v="4"/>
    <n v="4"/>
    <n v="8"/>
    <n v="7"/>
    <x v="1"/>
    <x v="1"/>
  </r>
  <r>
    <x v="20"/>
    <x v="0"/>
    <x v="0"/>
    <n v="1376"/>
    <x v="2"/>
    <x v="0"/>
    <n v="2"/>
    <x v="2"/>
    <n v="1"/>
    <n v="1098"/>
    <n v="2"/>
    <x v="1"/>
    <x v="59"/>
    <n v="2"/>
    <n v="3"/>
    <x v="8"/>
    <n v="1"/>
    <x v="1"/>
    <x v="746"/>
    <n v="2326"/>
    <n v="9"/>
    <s v="Y"/>
    <x v="1"/>
    <n v="14"/>
    <n v="3"/>
    <n v="4"/>
    <n v="80"/>
    <n v="1"/>
    <n v="24"/>
    <n v="1"/>
    <n v="3"/>
    <n v="20"/>
    <n v="6"/>
    <x v="2"/>
    <x v="4"/>
  </r>
  <r>
    <x v="3"/>
    <x v="1"/>
    <x v="0"/>
    <n v="654"/>
    <x v="1"/>
    <x v="12"/>
    <n v="3"/>
    <x v="0"/>
    <n v="1"/>
    <n v="1099"/>
    <n v="4"/>
    <x v="1"/>
    <x v="61"/>
    <n v="2"/>
    <n v="3"/>
    <x v="4"/>
    <n v="4"/>
    <x v="2"/>
    <x v="747"/>
    <n v="21214"/>
    <n v="4"/>
    <s v="Y"/>
    <x v="1"/>
    <n v="15"/>
    <n v="3"/>
    <n v="3"/>
    <n v="80"/>
    <n v="1"/>
    <n v="9"/>
    <n v="2"/>
    <n v="3"/>
    <n v="3"/>
    <n v="2"/>
    <x v="1"/>
    <x v="3"/>
  </r>
  <r>
    <x v="10"/>
    <x v="0"/>
    <x v="0"/>
    <n v="1204"/>
    <x v="0"/>
    <x v="18"/>
    <n v="3"/>
    <x v="4"/>
    <n v="1"/>
    <n v="1100"/>
    <n v="4"/>
    <x v="1"/>
    <x v="27"/>
    <n v="3"/>
    <n v="3"/>
    <x v="0"/>
    <n v="1"/>
    <x v="0"/>
    <x v="748"/>
    <n v="10333"/>
    <n v="0"/>
    <s v="Y"/>
    <x v="0"/>
    <n v="22"/>
    <n v="4"/>
    <n v="1"/>
    <n v="80"/>
    <n v="0"/>
    <n v="9"/>
    <n v="2"/>
    <n v="3"/>
    <n v="8"/>
    <n v="7"/>
    <x v="5"/>
    <x v="1"/>
  </r>
  <r>
    <x v="3"/>
    <x v="0"/>
    <x v="1"/>
    <n v="827"/>
    <x v="1"/>
    <x v="22"/>
    <n v="4"/>
    <x v="2"/>
    <n v="1"/>
    <n v="1101"/>
    <n v="1"/>
    <x v="0"/>
    <x v="60"/>
    <n v="2"/>
    <n v="2"/>
    <x v="1"/>
    <n v="3"/>
    <x v="0"/>
    <x v="749"/>
    <n v="3129"/>
    <n v="1"/>
    <s v="Y"/>
    <x v="1"/>
    <n v="22"/>
    <n v="4"/>
    <n v="2"/>
    <n v="80"/>
    <n v="0"/>
    <n v="14"/>
    <n v="4"/>
    <n v="3"/>
    <n v="13"/>
    <n v="7"/>
    <x v="2"/>
    <x v="5"/>
  </r>
  <r>
    <x v="14"/>
    <x v="1"/>
    <x v="0"/>
    <n v="895"/>
    <x v="1"/>
    <x v="8"/>
    <n v="2"/>
    <x v="0"/>
    <n v="1"/>
    <n v="1102"/>
    <n v="1"/>
    <x v="1"/>
    <x v="13"/>
    <n v="3"/>
    <n v="1"/>
    <x v="2"/>
    <n v="3"/>
    <x v="2"/>
    <x v="750"/>
    <n v="22482"/>
    <n v="1"/>
    <s v="Y"/>
    <x v="1"/>
    <n v="16"/>
    <n v="3"/>
    <n v="4"/>
    <n v="80"/>
    <n v="1"/>
    <n v="4"/>
    <n v="5"/>
    <n v="2"/>
    <n v="4"/>
    <n v="2"/>
    <x v="3"/>
    <x v="3"/>
  </r>
  <r>
    <x v="13"/>
    <x v="1"/>
    <x v="1"/>
    <n v="618"/>
    <x v="1"/>
    <x v="3"/>
    <n v="1"/>
    <x v="0"/>
    <n v="1"/>
    <n v="1103"/>
    <n v="1"/>
    <x v="1"/>
    <x v="18"/>
    <n v="3"/>
    <n v="2"/>
    <x v="4"/>
    <n v="4"/>
    <x v="0"/>
    <x v="751"/>
    <n v="22266"/>
    <n v="0"/>
    <s v="Y"/>
    <x v="1"/>
    <n v="17"/>
    <n v="3"/>
    <n v="3"/>
    <n v="80"/>
    <n v="0"/>
    <n v="7"/>
    <n v="1"/>
    <n v="2"/>
    <n v="6"/>
    <n v="2"/>
    <x v="0"/>
    <x v="10"/>
  </r>
  <r>
    <x v="2"/>
    <x v="1"/>
    <x v="0"/>
    <n v="309"/>
    <x v="0"/>
    <x v="17"/>
    <n v="4"/>
    <x v="0"/>
    <n v="1"/>
    <n v="1105"/>
    <n v="4"/>
    <x v="0"/>
    <x v="64"/>
    <n v="2"/>
    <n v="2"/>
    <x v="0"/>
    <n v="4"/>
    <x v="2"/>
    <x v="752"/>
    <n v="24223"/>
    <n v="2"/>
    <s v="Y"/>
    <x v="0"/>
    <n v="14"/>
    <n v="3"/>
    <n v="3"/>
    <n v="80"/>
    <n v="3"/>
    <n v="8"/>
    <n v="5"/>
    <n v="3"/>
    <n v="1"/>
    <n v="0"/>
    <x v="0"/>
    <x v="2"/>
  </r>
  <r>
    <x v="36"/>
    <x v="0"/>
    <x v="0"/>
    <n v="1219"/>
    <x v="1"/>
    <x v="18"/>
    <n v="1"/>
    <x v="4"/>
    <n v="1"/>
    <n v="1106"/>
    <n v="4"/>
    <x v="1"/>
    <x v="47"/>
    <n v="3"/>
    <n v="1"/>
    <x v="2"/>
    <n v="4"/>
    <x v="1"/>
    <x v="753"/>
    <n v="4605"/>
    <n v="1"/>
    <s v="Y"/>
    <x v="0"/>
    <n v="15"/>
    <n v="3"/>
    <n v="2"/>
    <n v="80"/>
    <n v="1"/>
    <n v="7"/>
    <n v="3"/>
    <n v="4"/>
    <n v="7"/>
    <n v="7"/>
    <x v="8"/>
    <x v="4"/>
  </r>
  <r>
    <x v="25"/>
    <x v="0"/>
    <x v="0"/>
    <n v="1330"/>
    <x v="1"/>
    <x v="11"/>
    <n v="3"/>
    <x v="2"/>
    <n v="1"/>
    <n v="1107"/>
    <n v="1"/>
    <x v="1"/>
    <x v="31"/>
    <n v="3"/>
    <n v="1"/>
    <x v="2"/>
    <n v="3"/>
    <x v="2"/>
    <x v="638"/>
    <n v="19373"/>
    <n v="1"/>
    <s v="Y"/>
    <x v="1"/>
    <n v="20"/>
    <n v="4"/>
    <n v="3"/>
    <n v="80"/>
    <n v="1"/>
    <n v="1"/>
    <n v="0"/>
    <n v="2"/>
    <n v="1"/>
    <n v="1"/>
    <x v="0"/>
    <x v="2"/>
  </r>
  <r>
    <x v="3"/>
    <x v="0"/>
    <x v="0"/>
    <n v="1017"/>
    <x v="1"/>
    <x v="19"/>
    <n v="3"/>
    <x v="2"/>
    <n v="1"/>
    <n v="1108"/>
    <n v="1"/>
    <x v="1"/>
    <x v="46"/>
    <n v="2"/>
    <n v="1"/>
    <x v="1"/>
    <n v="2"/>
    <x v="0"/>
    <x v="754"/>
    <n v="2993"/>
    <n v="4"/>
    <s v="Y"/>
    <x v="0"/>
    <n v="20"/>
    <n v="4"/>
    <n v="2"/>
    <n v="80"/>
    <n v="0"/>
    <n v="5"/>
    <n v="0"/>
    <n v="3"/>
    <n v="2"/>
    <n v="2"/>
    <x v="3"/>
    <x v="3"/>
  </r>
  <r>
    <x v="19"/>
    <x v="1"/>
    <x v="0"/>
    <n v="469"/>
    <x v="1"/>
    <x v="2"/>
    <n v="2"/>
    <x v="2"/>
    <n v="1"/>
    <n v="1109"/>
    <n v="4"/>
    <x v="1"/>
    <x v="58"/>
    <n v="3"/>
    <n v="4"/>
    <x v="5"/>
    <n v="1"/>
    <x v="1"/>
    <x v="755"/>
    <n v="14399"/>
    <n v="0"/>
    <s v="Y"/>
    <x v="1"/>
    <n v="17"/>
    <n v="3"/>
    <n v="4"/>
    <n v="80"/>
    <n v="1"/>
    <n v="23"/>
    <n v="3"/>
    <n v="3"/>
    <n v="22"/>
    <n v="6"/>
    <x v="11"/>
    <x v="1"/>
  </r>
  <r>
    <x v="14"/>
    <x v="0"/>
    <x v="1"/>
    <n v="1009"/>
    <x v="1"/>
    <x v="0"/>
    <n v="3"/>
    <x v="2"/>
    <n v="1"/>
    <n v="1111"/>
    <n v="1"/>
    <x v="1"/>
    <x v="18"/>
    <n v="2"/>
    <n v="1"/>
    <x v="2"/>
    <n v="2"/>
    <x v="2"/>
    <x v="756"/>
    <n v="7160"/>
    <n v="1"/>
    <s v="Y"/>
    <x v="1"/>
    <n v="15"/>
    <n v="3"/>
    <n v="1"/>
    <n v="80"/>
    <n v="2"/>
    <n v="1"/>
    <n v="2"/>
    <n v="3"/>
    <n v="1"/>
    <n v="0"/>
    <x v="0"/>
    <x v="2"/>
  </r>
  <r>
    <x v="24"/>
    <x v="0"/>
    <x v="1"/>
    <n v="959"/>
    <x v="0"/>
    <x v="0"/>
    <n v="4"/>
    <x v="1"/>
    <n v="1"/>
    <n v="1113"/>
    <n v="4"/>
    <x v="1"/>
    <x v="6"/>
    <n v="3"/>
    <n v="2"/>
    <x v="0"/>
    <n v="3"/>
    <x v="0"/>
    <x v="757"/>
    <n v="17251"/>
    <n v="3"/>
    <s v="Y"/>
    <x v="0"/>
    <n v="14"/>
    <n v="3"/>
    <n v="4"/>
    <n v="80"/>
    <n v="0"/>
    <n v="5"/>
    <n v="4"/>
    <n v="3"/>
    <n v="0"/>
    <n v="0"/>
    <x v="0"/>
    <x v="2"/>
  </r>
  <r>
    <x v="3"/>
    <x v="1"/>
    <x v="1"/>
    <n v="970"/>
    <x v="0"/>
    <x v="15"/>
    <n v="3"/>
    <x v="0"/>
    <n v="1"/>
    <n v="1114"/>
    <n v="4"/>
    <x v="0"/>
    <x v="37"/>
    <n v="3"/>
    <n v="2"/>
    <x v="0"/>
    <n v="2"/>
    <x v="1"/>
    <x v="758"/>
    <n v="13401"/>
    <n v="0"/>
    <s v="Y"/>
    <x v="1"/>
    <n v="17"/>
    <n v="3"/>
    <n v="3"/>
    <n v="80"/>
    <n v="1"/>
    <n v="4"/>
    <n v="3"/>
    <n v="3"/>
    <n v="3"/>
    <n v="2"/>
    <x v="0"/>
    <x v="3"/>
  </r>
  <r>
    <x v="13"/>
    <x v="1"/>
    <x v="2"/>
    <n v="697"/>
    <x v="1"/>
    <x v="3"/>
    <n v="4"/>
    <x v="0"/>
    <n v="1"/>
    <n v="1115"/>
    <n v="3"/>
    <x v="1"/>
    <x v="4"/>
    <n v="2"/>
    <n v="1"/>
    <x v="1"/>
    <n v="4"/>
    <x v="1"/>
    <x v="759"/>
    <n v="22478"/>
    <n v="3"/>
    <s v="Y"/>
    <x v="1"/>
    <n v="17"/>
    <n v="3"/>
    <n v="4"/>
    <n v="80"/>
    <n v="3"/>
    <n v="6"/>
    <n v="2"/>
    <n v="3"/>
    <n v="0"/>
    <n v="0"/>
    <x v="0"/>
    <x v="2"/>
  </r>
  <r>
    <x v="26"/>
    <x v="1"/>
    <x v="2"/>
    <n v="1262"/>
    <x v="1"/>
    <x v="0"/>
    <n v="4"/>
    <x v="2"/>
    <n v="1"/>
    <n v="1116"/>
    <n v="1"/>
    <x v="1"/>
    <x v="58"/>
    <n v="4"/>
    <n v="4"/>
    <x v="5"/>
    <n v="4"/>
    <x v="0"/>
    <x v="760"/>
    <n v="16154"/>
    <n v="2"/>
    <s v="Y"/>
    <x v="1"/>
    <n v="22"/>
    <n v="4"/>
    <n v="3"/>
    <n v="80"/>
    <n v="0"/>
    <n v="27"/>
    <n v="3"/>
    <n v="2"/>
    <n v="5"/>
    <n v="4"/>
    <x v="3"/>
    <x v="9"/>
  </r>
  <r>
    <x v="28"/>
    <x v="1"/>
    <x v="2"/>
    <n v="1050"/>
    <x v="0"/>
    <x v="14"/>
    <n v="4"/>
    <x v="0"/>
    <n v="1"/>
    <n v="1117"/>
    <n v="2"/>
    <x v="0"/>
    <x v="63"/>
    <n v="2"/>
    <n v="2"/>
    <x v="0"/>
    <n v="3"/>
    <x v="1"/>
    <x v="761"/>
    <n v="17970"/>
    <n v="1"/>
    <s v="Y"/>
    <x v="1"/>
    <n v="13"/>
    <n v="3"/>
    <n v="4"/>
    <n v="80"/>
    <n v="1"/>
    <n v="15"/>
    <n v="2"/>
    <n v="3"/>
    <n v="15"/>
    <n v="10"/>
    <x v="5"/>
    <x v="11"/>
  </r>
  <r>
    <x v="39"/>
    <x v="1"/>
    <x v="0"/>
    <n v="994"/>
    <x v="1"/>
    <x v="15"/>
    <n v="4"/>
    <x v="0"/>
    <n v="1"/>
    <n v="1118"/>
    <n v="2"/>
    <x v="1"/>
    <x v="44"/>
    <n v="3"/>
    <n v="3"/>
    <x v="4"/>
    <n v="2"/>
    <x v="0"/>
    <x v="762"/>
    <n v="15322"/>
    <n v="7"/>
    <s v="Y"/>
    <x v="1"/>
    <n v="19"/>
    <n v="3"/>
    <n v="4"/>
    <n v="80"/>
    <n v="0"/>
    <n v="18"/>
    <n v="4"/>
    <n v="3"/>
    <n v="8"/>
    <n v="6"/>
    <x v="5"/>
    <x v="2"/>
  </r>
  <r>
    <x v="8"/>
    <x v="1"/>
    <x v="0"/>
    <n v="770"/>
    <x v="0"/>
    <x v="17"/>
    <n v="4"/>
    <x v="3"/>
    <n v="1"/>
    <n v="1119"/>
    <n v="3"/>
    <x v="1"/>
    <x v="32"/>
    <n v="2"/>
    <n v="3"/>
    <x v="0"/>
    <n v="3"/>
    <x v="2"/>
    <x v="763"/>
    <n v="5569"/>
    <n v="0"/>
    <s v="Y"/>
    <x v="0"/>
    <n v="14"/>
    <n v="3"/>
    <n v="2"/>
    <n v="80"/>
    <n v="2"/>
    <n v="9"/>
    <n v="2"/>
    <n v="3"/>
    <n v="8"/>
    <n v="7"/>
    <x v="3"/>
    <x v="1"/>
  </r>
  <r>
    <x v="11"/>
    <x v="1"/>
    <x v="0"/>
    <n v="1107"/>
    <x v="1"/>
    <x v="26"/>
    <n v="4"/>
    <x v="0"/>
    <n v="1"/>
    <n v="1120"/>
    <n v="3"/>
    <x v="0"/>
    <x v="12"/>
    <n v="3"/>
    <n v="1"/>
    <x v="1"/>
    <n v="4"/>
    <x v="2"/>
    <x v="764"/>
    <n v="26968"/>
    <n v="4"/>
    <s v="Y"/>
    <x v="1"/>
    <n v="22"/>
    <n v="4"/>
    <n v="1"/>
    <n v="80"/>
    <n v="1"/>
    <n v="11"/>
    <n v="1"/>
    <n v="3"/>
    <n v="7"/>
    <n v="5"/>
    <x v="1"/>
    <x v="1"/>
  </r>
  <r>
    <x v="14"/>
    <x v="1"/>
    <x v="0"/>
    <n v="950"/>
    <x v="1"/>
    <x v="3"/>
    <n v="3"/>
    <x v="2"/>
    <n v="1"/>
    <n v="1121"/>
    <n v="4"/>
    <x v="0"/>
    <x v="12"/>
    <n v="3"/>
    <n v="3"/>
    <x v="3"/>
    <n v="2"/>
    <x v="2"/>
    <x v="765"/>
    <n v="8039"/>
    <n v="0"/>
    <s v="Y"/>
    <x v="1"/>
    <n v="17"/>
    <n v="3"/>
    <n v="2"/>
    <n v="80"/>
    <n v="3"/>
    <n v="10"/>
    <n v="3"/>
    <n v="2"/>
    <n v="9"/>
    <n v="7"/>
    <x v="1"/>
    <x v="1"/>
  </r>
  <r>
    <x v="21"/>
    <x v="1"/>
    <x v="0"/>
    <n v="406"/>
    <x v="0"/>
    <x v="3"/>
    <n v="1"/>
    <x v="3"/>
    <n v="1"/>
    <n v="1124"/>
    <n v="1"/>
    <x v="1"/>
    <x v="48"/>
    <n v="3"/>
    <n v="4"/>
    <x v="5"/>
    <n v="3"/>
    <x v="1"/>
    <x v="766"/>
    <n v="15596"/>
    <n v="3"/>
    <s v="Y"/>
    <x v="1"/>
    <n v="12"/>
    <n v="3"/>
    <n v="4"/>
    <n v="80"/>
    <n v="1"/>
    <n v="23"/>
    <n v="3"/>
    <n v="3"/>
    <n v="12"/>
    <n v="9"/>
    <x v="5"/>
    <x v="12"/>
  </r>
  <r>
    <x v="8"/>
    <x v="1"/>
    <x v="0"/>
    <n v="130"/>
    <x v="0"/>
    <x v="2"/>
    <n v="2"/>
    <x v="3"/>
    <n v="1"/>
    <n v="1125"/>
    <n v="4"/>
    <x v="1"/>
    <x v="47"/>
    <n v="3"/>
    <n v="3"/>
    <x v="0"/>
    <n v="2"/>
    <x v="0"/>
    <x v="767"/>
    <n v="20619"/>
    <n v="7"/>
    <s v="Y"/>
    <x v="1"/>
    <n v="16"/>
    <n v="3"/>
    <n v="3"/>
    <n v="80"/>
    <n v="0"/>
    <n v="10"/>
    <n v="2"/>
    <n v="3"/>
    <n v="1"/>
    <n v="0"/>
    <x v="0"/>
    <x v="2"/>
  </r>
  <r>
    <x v="23"/>
    <x v="1"/>
    <x v="1"/>
    <n v="1082"/>
    <x v="1"/>
    <x v="6"/>
    <n v="3"/>
    <x v="0"/>
    <n v="1"/>
    <n v="1126"/>
    <n v="3"/>
    <x v="0"/>
    <x v="21"/>
    <n v="3"/>
    <n v="3"/>
    <x v="3"/>
    <n v="1"/>
    <x v="1"/>
    <x v="768"/>
    <n v="11535"/>
    <n v="8"/>
    <s v="Y"/>
    <x v="1"/>
    <n v="11"/>
    <n v="3"/>
    <n v="3"/>
    <n v="80"/>
    <n v="1"/>
    <n v="18"/>
    <n v="1"/>
    <n v="3"/>
    <n v="8"/>
    <n v="7"/>
    <x v="0"/>
    <x v="9"/>
  </r>
  <r>
    <x v="22"/>
    <x v="0"/>
    <x v="1"/>
    <n v="203"/>
    <x v="1"/>
    <x v="2"/>
    <n v="3"/>
    <x v="0"/>
    <n v="1"/>
    <n v="1127"/>
    <n v="1"/>
    <x v="1"/>
    <x v="9"/>
    <n v="3"/>
    <n v="4"/>
    <x v="4"/>
    <n v="4"/>
    <x v="2"/>
    <x v="769"/>
    <n v="13547"/>
    <n v="7"/>
    <s v="Y"/>
    <x v="1"/>
    <n v="11"/>
    <n v="3"/>
    <n v="4"/>
    <n v="80"/>
    <n v="3"/>
    <n v="21"/>
    <n v="4"/>
    <n v="3"/>
    <n v="18"/>
    <n v="7"/>
    <x v="14"/>
    <x v="0"/>
  </r>
  <r>
    <x v="32"/>
    <x v="1"/>
    <x v="0"/>
    <n v="1308"/>
    <x v="1"/>
    <x v="24"/>
    <n v="3"/>
    <x v="2"/>
    <n v="1"/>
    <n v="1128"/>
    <n v="3"/>
    <x v="1"/>
    <x v="8"/>
    <n v="2"/>
    <n v="5"/>
    <x v="7"/>
    <n v="3"/>
    <x v="0"/>
    <x v="770"/>
    <n v="17544"/>
    <n v="1"/>
    <s v="Y"/>
    <x v="1"/>
    <n v="14"/>
    <n v="3"/>
    <n v="1"/>
    <n v="80"/>
    <n v="0"/>
    <n v="21"/>
    <n v="2"/>
    <n v="4"/>
    <n v="20"/>
    <n v="7"/>
    <x v="5"/>
    <x v="12"/>
  </r>
  <r>
    <x v="18"/>
    <x v="1"/>
    <x v="0"/>
    <n v="984"/>
    <x v="1"/>
    <x v="0"/>
    <n v="1"/>
    <x v="4"/>
    <n v="1"/>
    <n v="1131"/>
    <n v="4"/>
    <x v="0"/>
    <x v="49"/>
    <n v="2"/>
    <n v="1"/>
    <x v="1"/>
    <n v="2"/>
    <x v="0"/>
    <x v="266"/>
    <n v="25326"/>
    <n v="1"/>
    <s v="Y"/>
    <x v="0"/>
    <n v="11"/>
    <n v="3"/>
    <n v="3"/>
    <n v="80"/>
    <n v="0"/>
    <n v="2"/>
    <n v="6"/>
    <n v="4"/>
    <n v="2"/>
    <n v="2"/>
    <x v="3"/>
    <x v="3"/>
  </r>
  <r>
    <x v="22"/>
    <x v="1"/>
    <x v="2"/>
    <n v="439"/>
    <x v="1"/>
    <x v="14"/>
    <n v="3"/>
    <x v="0"/>
    <n v="1"/>
    <n v="1132"/>
    <n v="3"/>
    <x v="1"/>
    <x v="49"/>
    <n v="3"/>
    <n v="2"/>
    <x v="2"/>
    <n v="2"/>
    <x v="0"/>
    <x v="771"/>
    <n v="8770"/>
    <n v="9"/>
    <s v="Y"/>
    <x v="1"/>
    <n v="15"/>
    <n v="3"/>
    <n v="3"/>
    <n v="80"/>
    <n v="0"/>
    <n v="9"/>
    <n v="2"/>
    <n v="2"/>
    <n v="5"/>
    <n v="4"/>
    <x v="0"/>
    <x v="6"/>
  </r>
  <r>
    <x v="9"/>
    <x v="1"/>
    <x v="2"/>
    <n v="217"/>
    <x v="1"/>
    <x v="21"/>
    <n v="4"/>
    <x v="0"/>
    <n v="1"/>
    <n v="1133"/>
    <n v="1"/>
    <x v="1"/>
    <x v="17"/>
    <n v="3"/>
    <n v="2"/>
    <x v="3"/>
    <n v="4"/>
    <x v="0"/>
    <x v="772"/>
    <n v="23238"/>
    <n v="2"/>
    <s v="Y"/>
    <x v="1"/>
    <n v="20"/>
    <n v="4"/>
    <n v="1"/>
    <n v="80"/>
    <n v="0"/>
    <n v="18"/>
    <n v="0"/>
    <n v="3"/>
    <n v="11"/>
    <n v="9"/>
    <x v="0"/>
    <x v="12"/>
  </r>
  <r>
    <x v="12"/>
    <x v="1"/>
    <x v="1"/>
    <n v="793"/>
    <x v="0"/>
    <x v="25"/>
    <n v="3"/>
    <x v="0"/>
    <n v="1"/>
    <n v="1135"/>
    <n v="3"/>
    <x v="1"/>
    <x v="7"/>
    <n v="4"/>
    <n v="1"/>
    <x v="6"/>
    <n v="4"/>
    <x v="1"/>
    <x v="773"/>
    <n v="21981"/>
    <n v="0"/>
    <s v="Y"/>
    <x v="1"/>
    <n v="12"/>
    <n v="3"/>
    <n v="1"/>
    <n v="80"/>
    <n v="1"/>
    <n v="3"/>
    <n v="4"/>
    <n v="3"/>
    <n v="2"/>
    <n v="2"/>
    <x v="3"/>
    <x v="3"/>
  </r>
  <r>
    <x v="14"/>
    <x v="1"/>
    <x v="0"/>
    <n v="1451"/>
    <x v="1"/>
    <x v="2"/>
    <n v="1"/>
    <x v="0"/>
    <n v="1"/>
    <n v="1136"/>
    <n v="1"/>
    <x v="1"/>
    <x v="7"/>
    <n v="2"/>
    <n v="1"/>
    <x v="1"/>
    <n v="2"/>
    <x v="1"/>
    <x v="774"/>
    <n v="19911"/>
    <n v="0"/>
    <s v="Y"/>
    <x v="1"/>
    <n v="17"/>
    <n v="3"/>
    <n v="1"/>
    <n v="80"/>
    <n v="0"/>
    <n v="6"/>
    <n v="2"/>
    <n v="1"/>
    <n v="5"/>
    <n v="3"/>
    <x v="0"/>
    <x v="10"/>
  </r>
  <r>
    <x v="10"/>
    <x v="1"/>
    <x v="1"/>
    <n v="1182"/>
    <x v="0"/>
    <x v="13"/>
    <n v="2"/>
    <x v="3"/>
    <n v="1"/>
    <n v="1137"/>
    <n v="4"/>
    <x v="1"/>
    <x v="60"/>
    <n v="3"/>
    <n v="2"/>
    <x v="0"/>
    <n v="4"/>
    <x v="2"/>
    <x v="775"/>
    <n v="18500"/>
    <n v="1"/>
    <s v="Y"/>
    <x v="1"/>
    <n v="11"/>
    <n v="3"/>
    <n v="4"/>
    <n v="80"/>
    <n v="1"/>
    <n v="5"/>
    <n v="3"/>
    <n v="3"/>
    <n v="5"/>
    <n v="2"/>
    <x v="0"/>
    <x v="3"/>
  </r>
  <r>
    <x v="1"/>
    <x v="1"/>
    <x v="0"/>
    <n v="174"/>
    <x v="0"/>
    <x v="1"/>
    <n v="4"/>
    <x v="4"/>
    <n v="1"/>
    <n v="1138"/>
    <n v="4"/>
    <x v="1"/>
    <x v="3"/>
    <n v="2"/>
    <n v="4"/>
    <x v="0"/>
    <n v="2"/>
    <x v="1"/>
    <x v="776"/>
    <n v="11879"/>
    <n v="6"/>
    <s v="Y"/>
    <x v="1"/>
    <n v="17"/>
    <n v="3"/>
    <n v="2"/>
    <n v="80"/>
    <n v="1"/>
    <n v="22"/>
    <n v="3"/>
    <n v="3"/>
    <n v="9"/>
    <n v="8"/>
    <x v="3"/>
    <x v="6"/>
  </r>
  <r>
    <x v="13"/>
    <x v="1"/>
    <x v="1"/>
    <n v="1003"/>
    <x v="1"/>
    <x v="2"/>
    <n v="2"/>
    <x v="0"/>
    <n v="1"/>
    <n v="1140"/>
    <n v="4"/>
    <x v="1"/>
    <x v="41"/>
    <n v="3"/>
    <n v="2"/>
    <x v="3"/>
    <n v="3"/>
    <x v="0"/>
    <x v="777"/>
    <n v="15834"/>
    <n v="2"/>
    <s v="Y"/>
    <x v="1"/>
    <n v="11"/>
    <n v="3"/>
    <n v="4"/>
    <n v="80"/>
    <n v="0"/>
    <n v="5"/>
    <n v="3"/>
    <n v="2"/>
    <n v="3"/>
    <n v="2"/>
    <x v="0"/>
    <x v="3"/>
  </r>
  <r>
    <x v="11"/>
    <x v="1"/>
    <x v="1"/>
    <n v="490"/>
    <x v="1"/>
    <x v="17"/>
    <n v="3"/>
    <x v="0"/>
    <n v="1"/>
    <n v="1143"/>
    <n v="4"/>
    <x v="0"/>
    <x v="1"/>
    <n v="3"/>
    <n v="1"/>
    <x v="1"/>
    <n v="2"/>
    <x v="2"/>
    <x v="778"/>
    <n v="17940"/>
    <n v="0"/>
    <s v="Y"/>
    <x v="1"/>
    <n v="14"/>
    <n v="3"/>
    <n v="4"/>
    <n v="80"/>
    <n v="2"/>
    <n v="8"/>
    <n v="2"/>
    <n v="2"/>
    <n v="7"/>
    <n v="5"/>
    <x v="1"/>
    <x v="9"/>
  </r>
  <r>
    <x v="19"/>
    <x v="1"/>
    <x v="0"/>
    <n v="188"/>
    <x v="1"/>
    <x v="22"/>
    <n v="3"/>
    <x v="2"/>
    <n v="1"/>
    <n v="1148"/>
    <n v="2"/>
    <x v="1"/>
    <x v="3"/>
    <n v="1"/>
    <n v="2"/>
    <x v="2"/>
    <n v="4"/>
    <x v="0"/>
    <x v="779"/>
    <n v="9558"/>
    <n v="4"/>
    <s v="Y"/>
    <x v="1"/>
    <n v="19"/>
    <n v="3"/>
    <n v="1"/>
    <n v="80"/>
    <n v="0"/>
    <n v="16"/>
    <n v="3"/>
    <n v="3"/>
    <n v="1"/>
    <n v="0"/>
    <x v="0"/>
    <x v="2"/>
  </r>
  <r>
    <x v="11"/>
    <x v="1"/>
    <x v="0"/>
    <n v="718"/>
    <x v="1"/>
    <x v="1"/>
    <n v="1"/>
    <x v="2"/>
    <n v="1"/>
    <n v="1150"/>
    <n v="2"/>
    <x v="1"/>
    <x v="5"/>
    <n v="2"/>
    <n v="2"/>
    <x v="3"/>
    <n v="4"/>
    <x v="1"/>
    <x v="780"/>
    <n v="17689"/>
    <n v="1"/>
    <s v="Y"/>
    <x v="0"/>
    <n v="15"/>
    <n v="3"/>
    <n v="3"/>
    <n v="80"/>
    <n v="1"/>
    <n v="10"/>
    <n v="2"/>
    <n v="2"/>
    <n v="10"/>
    <n v="7"/>
    <x v="1"/>
    <x v="3"/>
  </r>
  <r>
    <x v="8"/>
    <x v="1"/>
    <x v="0"/>
    <n v="433"/>
    <x v="2"/>
    <x v="0"/>
    <n v="3"/>
    <x v="5"/>
    <n v="1"/>
    <n v="1152"/>
    <n v="3"/>
    <x v="1"/>
    <x v="31"/>
    <n v="4"/>
    <n v="1"/>
    <x v="8"/>
    <n v="3"/>
    <x v="1"/>
    <x v="781"/>
    <n v="6004"/>
    <n v="1"/>
    <s v="Y"/>
    <x v="1"/>
    <n v="13"/>
    <n v="3"/>
    <n v="4"/>
    <n v="80"/>
    <n v="1"/>
    <n v="7"/>
    <n v="2"/>
    <n v="4"/>
    <n v="7"/>
    <n v="6"/>
    <x v="8"/>
    <x v="2"/>
  </r>
  <r>
    <x v="14"/>
    <x v="1"/>
    <x v="1"/>
    <n v="773"/>
    <x v="1"/>
    <x v="16"/>
    <n v="3"/>
    <x v="0"/>
    <n v="1"/>
    <n v="1154"/>
    <n v="3"/>
    <x v="1"/>
    <x v="56"/>
    <n v="2"/>
    <n v="1"/>
    <x v="1"/>
    <n v="3"/>
    <x v="2"/>
    <x v="68"/>
    <n v="22088"/>
    <n v="1"/>
    <s v="Y"/>
    <x v="0"/>
    <n v="14"/>
    <n v="3"/>
    <n v="4"/>
    <n v="80"/>
    <n v="1"/>
    <n v="3"/>
    <n v="2"/>
    <n v="3"/>
    <n v="3"/>
    <n v="1"/>
    <x v="0"/>
    <x v="3"/>
  </r>
  <r>
    <x v="41"/>
    <x v="0"/>
    <x v="2"/>
    <n v="247"/>
    <x v="1"/>
    <x v="1"/>
    <n v="1"/>
    <x v="2"/>
    <n v="1"/>
    <n v="1156"/>
    <n v="3"/>
    <x v="1"/>
    <x v="15"/>
    <n v="3"/>
    <n v="1"/>
    <x v="2"/>
    <n v="3"/>
    <x v="0"/>
    <x v="782"/>
    <n v="13556"/>
    <n v="1"/>
    <s v="Y"/>
    <x v="1"/>
    <n v="12"/>
    <n v="3"/>
    <n v="4"/>
    <n v="80"/>
    <n v="0"/>
    <n v="0"/>
    <n v="0"/>
    <n v="3"/>
    <n v="0"/>
    <n v="0"/>
    <x v="0"/>
    <x v="2"/>
  </r>
  <r>
    <x v="3"/>
    <x v="0"/>
    <x v="0"/>
    <n v="603"/>
    <x v="0"/>
    <x v="14"/>
    <n v="4"/>
    <x v="3"/>
    <n v="1"/>
    <n v="1157"/>
    <n v="1"/>
    <x v="0"/>
    <x v="57"/>
    <n v="3"/>
    <n v="2"/>
    <x v="0"/>
    <n v="1"/>
    <x v="0"/>
    <x v="783"/>
    <n v="18385"/>
    <n v="0"/>
    <s v="Y"/>
    <x v="0"/>
    <n v="17"/>
    <n v="3"/>
    <n v="1"/>
    <n v="80"/>
    <n v="0"/>
    <n v="6"/>
    <n v="3"/>
    <n v="3"/>
    <n v="5"/>
    <n v="2"/>
    <x v="0"/>
    <x v="6"/>
  </r>
  <r>
    <x v="0"/>
    <x v="1"/>
    <x v="0"/>
    <n v="167"/>
    <x v="1"/>
    <x v="20"/>
    <n v="4"/>
    <x v="0"/>
    <n v="1"/>
    <n v="1158"/>
    <n v="2"/>
    <x v="1"/>
    <x v="55"/>
    <n v="3"/>
    <n v="1"/>
    <x v="2"/>
    <n v="4"/>
    <x v="1"/>
    <x v="784"/>
    <n v="9051"/>
    <n v="3"/>
    <s v="Y"/>
    <x v="0"/>
    <n v="11"/>
    <n v="3"/>
    <n v="1"/>
    <n v="80"/>
    <n v="1"/>
    <n v="6"/>
    <n v="4"/>
    <n v="3"/>
    <n v="1"/>
    <n v="0"/>
    <x v="0"/>
    <x v="2"/>
  </r>
  <r>
    <x v="12"/>
    <x v="0"/>
    <x v="1"/>
    <n v="874"/>
    <x v="1"/>
    <x v="8"/>
    <n v="3"/>
    <x v="2"/>
    <n v="1"/>
    <n v="1160"/>
    <n v="3"/>
    <x v="1"/>
    <x v="23"/>
    <n v="3"/>
    <n v="1"/>
    <x v="2"/>
    <n v="3"/>
    <x v="1"/>
    <x v="353"/>
    <n v="6233"/>
    <n v="1"/>
    <s v="Y"/>
    <x v="1"/>
    <n v="12"/>
    <n v="3"/>
    <n v="3"/>
    <n v="80"/>
    <n v="1"/>
    <n v="2"/>
    <n v="5"/>
    <n v="2"/>
    <n v="2"/>
    <n v="2"/>
    <x v="3"/>
    <x v="3"/>
  </r>
  <r>
    <x v="2"/>
    <x v="1"/>
    <x v="0"/>
    <n v="367"/>
    <x v="1"/>
    <x v="19"/>
    <n v="2"/>
    <x v="2"/>
    <n v="1"/>
    <n v="1161"/>
    <n v="3"/>
    <x v="0"/>
    <x v="48"/>
    <n v="2"/>
    <n v="2"/>
    <x v="4"/>
    <n v="4"/>
    <x v="2"/>
    <x v="785"/>
    <n v="17171"/>
    <n v="7"/>
    <s v="Y"/>
    <x v="1"/>
    <n v="13"/>
    <n v="3"/>
    <n v="3"/>
    <n v="80"/>
    <n v="2"/>
    <n v="9"/>
    <n v="2"/>
    <n v="3"/>
    <n v="6"/>
    <n v="2"/>
    <x v="1"/>
    <x v="6"/>
  </r>
  <r>
    <x v="4"/>
    <x v="1"/>
    <x v="0"/>
    <n v="199"/>
    <x v="1"/>
    <x v="16"/>
    <n v="3"/>
    <x v="0"/>
    <n v="1"/>
    <n v="1162"/>
    <n v="4"/>
    <x v="1"/>
    <x v="46"/>
    <n v="2"/>
    <n v="1"/>
    <x v="1"/>
    <n v="3"/>
    <x v="1"/>
    <x v="786"/>
    <n v="7950"/>
    <n v="1"/>
    <s v="Y"/>
    <x v="1"/>
    <n v="13"/>
    <n v="3"/>
    <n v="3"/>
    <n v="80"/>
    <n v="1"/>
    <n v="4"/>
    <n v="0"/>
    <n v="3"/>
    <n v="4"/>
    <n v="2"/>
    <x v="3"/>
    <x v="3"/>
  </r>
  <r>
    <x v="13"/>
    <x v="1"/>
    <x v="0"/>
    <n v="1400"/>
    <x v="0"/>
    <x v="14"/>
    <n v="1"/>
    <x v="0"/>
    <n v="1"/>
    <n v="1163"/>
    <n v="2"/>
    <x v="0"/>
    <x v="49"/>
    <n v="3"/>
    <n v="2"/>
    <x v="0"/>
    <n v="3"/>
    <x v="1"/>
    <x v="787"/>
    <n v="5829"/>
    <n v="1"/>
    <s v="Y"/>
    <x v="1"/>
    <n v="20"/>
    <n v="4"/>
    <n v="1"/>
    <n v="80"/>
    <n v="0"/>
    <n v="6"/>
    <n v="3"/>
    <n v="2"/>
    <n v="6"/>
    <n v="5"/>
    <x v="1"/>
    <x v="6"/>
  </r>
  <r>
    <x v="10"/>
    <x v="1"/>
    <x v="0"/>
    <n v="528"/>
    <x v="2"/>
    <x v="1"/>
    <n v="4"/>
    <x v="4"/>
    <n v="1"/>
    <n v="1164"/>
    <n v="3"/>
    <x v="1"/>
    <x v="54"/>
    <n v="3"/>
    <n v="1"/>
    <x v="8"/>
    <n v="3"/>
    <x v="0"/>
    <x v="788"/>
    <n v="7108"/>
    <n v="1"/>
    <s v="Y"/>
    <x v="1"/>
    <n v="17"/>
    <n v="3"/>
    <n v="2"/>
    <n v="80"/>
    <n v="0"/>
    <n v="6"/>
    <n v="2"/>
    <n v="1"/>
    <n v="5"/>
    <n v="4"/>
    <x v="1"/>
    <x v="10"/>
  </r>
  <r>
    <x v="11"/>
    <x v="0"/>
    <x v="0"/>
    <n v="408"/>
    <x v="0"/>
    <x v="5"/>
    <n v="1"/>
    <x v="0"/>
    <n v="1"/>
    <n v="1165"/>
    <n v="4"/>
    <x v="0"/>
    <x v="18"/>
    <n v="2"/>
    <n v="3"/>
    <x v="0"/>
    <n v="1"/>
    <x v="1"/>
    <x v="789"/>
    <n v="11162"/>
    <n v="1"/>
    <s v="Y"/>
    <x v="1"/>
    <n v="13"/>
    <n v="3"/>
    <n v="1"/>
    <n v="80"/>
    <n v="1"/>
    <n v="11"/>
    <n v="3"/>
    <n v="1"/>
    <n v="11"/>
    <n v="8"/>
    <x v="2"/>
    <x v="13"/>
  </r>
  <r>
    <x v="32"/>
    <x v="1"/>
    <x v="1"/>
    <n v="593"/>
    <x v="1"/>
    <x v="14"/>
    <n v="4"/>
    <x v="2"/>
    <n v="1"/>
    <n v="1166"/>
    <n v="2"/>
    <x v="0"/>
    <x v="64"/>
    <n v="3"/>
    <n v="3"/>
    <x v="7"/>
    <n v="3"/>
    <x v="0"/>
    <x v="790"/>
    <n v="13782"/>
    <n v="9"/>
    <s v="Y"/>
    <x v="1"/>
    <n v="17"/>
    <n v="3"/>
    <n v="3"/>
    <n v="80"/>
    <n v="0"/>
    <n v="20"/>
    <n v="3"/>
    <n v="2"/>
    <n v="18"/>
    <n v="7"/>
    <x v="3"/>
    <x v="15"/>
  </r>
  <r>
    <x v="19"/>
    <x v="0"/>
    <x v="1"/>
    <n v="481"/>
    <x v="0"/>
    <x v="20"/>
    <n v="3"/>
    <x v="0"/>
    <n v="1"/>
    <n v="1167"/>
    <n v="3"/>
    <x v="1"/>
    <x v="8"/>
    <n v="3"/>
    <n v="4"/>
    <x v="0"/>
    <n v="1"/>
    <x v="0"/>
    <x v="791"/>
    <n v="2447"/>
    <n v="0"/>
    <s v="Y"/>
    <x v="0"/>
    <n v="12"/>
    <n v="3"/>
    <n v="2"/>
    <n v="80"/>
    <n v="0"/>
    <n v="22"/>
    <n v="2"/>
    <n v="2"/>
    <n v="21"/>
    <n v="9"/>
    <x v="11"/>
    <x v="17"/>
  </r>
  <r>
    <x v="19"/>
    <x v="1"/>
    <x v="0"/>
    <n v="647"/>
    <x v="0"/>
    <x v="18"/>
    <n v="4"/>
    <x v="3"/>
    <n v="1"/>
    <n v="1171"/>
    <n v="2"/>
    <x v="1"/>
    <x v="18"/>
    <n v="3"/>
    <n v="2"/>
    <x v="0"/>
    <n v="1"/>
    <x v="0"/>
    <x v="792"/>
    <n v="2253"/>
    <n v="7"/>
    <s v="Y"/>
    <x v="1"/>
    <n v="13"/>
    <n v="3"/>
    <n v="4"/>
    <n v="80"/>
    <n v="0"/>
    <n v="9"/>
    <n v="3"/>
    <n v="4"/>
    <n v="6"/>
    <n v="4"/>
    <x v="1"/>
    <x v="0"/>
  </r>
  <r>
    <x v="10"/>
    <x v="1"/>
    <x v="0"/>
    <n v="982"/>
    <x v="1"/>
    <x v="0"/>
    <n v="4"/>
    <x v="2"/>
    <n v="1"/>
    <n v="1172"/>
    <n v="4"/>
    <x v="1"/>
    <x v="22"/>
    <n v="2"/>
    <n v="1"/>
    <x v="2"/>
    <n v="3"/>
    <x v="1"/>
    <x v="384"/>
    <n v="16340"/>
    <n v="6"/>
    <s v="Y"/>
    <x v="1"/>
    <n v="12"/>
    <n v="3"/>
    <n v="2"/>
    <n v="80"/>
    <n v="1"/>
    <n v="10"/>
    <n v="2"/>
    <n v="3"/>
    <n v="8"/>
    <n v="0"/>
    <x v="1"/>
    <x v="1"/>
  </r>
  <r>
    <x v="17"/>
    <x v="1"/>
    <x v="0"/>
    <n v="477"/>
    <x v="1"/>
    <x v="4"/>
    <n v="3"/>
    <x v="2"/>
    <n v="1"/>
    <n v="1173"/>
    <n v="4"/>
    <x v="1"/>
    <x v="10"/>
    <n v="3"/>
    <n v="1"/>
    <x v="2"/>
    <n v="2"/>
    <x v="0"/>
    <x v="793"/>
    <n v="6409"/>
    <n v="8"/>
    <s v="Y"/>
    <x v="1"/>
    <n v="22"/>
    <n v="4"/>
    <n v="4"/>
    <n v="80"/>
    <n v="0"/>
    <n v="6"/>
    <n v="2"/>
    <n v="3"/>
    <n v="4"/>
    <n v="3"/>
    <x v="1"/>
    <x v="3"/>
  </r>
  <r>
    <x v="14"/>
    <x v="0"/>
    <x v="0"/>
    <n v="1485"/>
    <x v="1"/>
    <x v="20"/>
    <n v="1"/>
    <x v="0"/>
    <n v="1"/>
    <n v="1175"/>
    <n v="3"/>
    <x v="0"/>
    <x v="5"/>
    <n v="3"/>
    <n v="1"/>
    <x v="2"/>
    <n v="4"/>
    <x v="1"/>
    <x v="605"/>
    <n v="22955"/>
    <n v="1"/>
    <s v="Y"/>
    <x v="0"/>
    <n v="11"/>
    <n v="3"/>
    <n v="4"/>
    <n v="80"/>
    <n v="0"/>
    <n v="1"/>
    <n v="4"/>
    <n v="2"/>
    <n v="1"/>
    <n v="1"/>
    <x v="0"/>
    <x v="2"/>
  </r>
  <r>
    <x v="25"/>
    <x v="1"/>
    <x v="0"/>
    <n v="1384"/>
    <x v="1"/>
    <x v="3"/>
    <n v="4"/>
    <x v="2"/>
    <n v="1"/>
    <n v="1177"/>
    <n v="1"/>
    <x v="1"/>
    <x v="19"/>
    <n v="4"/>
    <n v="1"/>
    <x v="2"/>
    <n v="4"/>
    <x v="1"/>
    <x v="794"/>
    <n v="13421"/>
    <n v="1"/>
    <s v="Y"/>
    <x v="1"/>
    <n v="22"/>
    <n v="4"/>
    <n v="2"/>
    <n v="80"/>
    <n v="1"/>
    <n v="8"/>
    <n v="2"/>
    <n v="3"/>
    <n v="8"/>
    <n v="7"/>
    <x v="0"/>
    <x v="1"/>
  </r>
  <r>
    <x v="7"/>
    <x v="1"/>
    <x v="0"/>
    <n v="852"/>
    <x v="0"/>
    <x v="17"/>
    <n v="3"/>
    <x v="3"/>
    <n v="1"/>
    <n v="1179"/>
    <n v="3"/>
    <x v="1"/>
    <x v="23"/>
    <n v="2"/>
    <n v="2"/>
    <x v="0"/>
    <n v="3"/>
    <x v="1"/>
    <x v="795"/>
    <n v="2706"/>
    <n v="1"/>
    <s v="Y"/>
    <x v="1"/>
    <n v="18"/>
    <n v="3"/>
    <n v="1"/>
    <n v="80"/>
    <n v="1"/>
    <n v="10"/>
    <n v="3"/>
    <n v="3"/>
    <n v="10"/>
    <n v="3"/>
    <x v="1"/>
    <x v="10"/>
  </r>
  <r>
    <x v="32"/>
    <x v="1"/>
    <x v="1"/>
    <n v="902"/>
    <x v="1"/>
    <x v="9"/>
    <n v="2"/>
    <x v="2"/>
    <n v="1"/>
    <n v="1180"/>
    <n v="3"/>
    <x v="0"/>
    <x v="2"/>
    <n v="2"/>
    <n v="2"/>
    <x v="1"/>
    <n v="4"/>
    <x v="1"/>
    <x v="796"/>
    <n v="21203"/>
    <n v="3"/>
    <s v="Y"/>
    <x v="0"/>
    <n v="13"/>
    <n v="3"/>
    <n v="4"/>
    <n v="80"/>
    <n v="1"/>
    <n v="16"/>
    <n v="3"/>
    <n v="1"/>
    <n v="1"/>
    <n v="1"/>
    <x v="0"/>
    <x v="2"/>
  </r>
  <r>
    <x v="10"/>
    <x v="1"/>
    <x v="0"/>
    <n v="819"/>
    <x v="1"/>
    <x v="2"/>
    <n v="3"/>
    <x v="0"/>
    <n v="1"/>
    <n v="1182"/>
    <n v="3"/>
    <x v="1"/>
    <x v="8"/>
    <n v="2"/>
    <n v="3"/>
    <x v="3"/>
    <n v="2"/>
    <x v="2"/>
    <x v="797"/>
    <n v="19588"/>
    <n v="2"/>
    <s v="Y"/>
    <x v="1"/>
    <n v="18"/>
    <n v="3"/>
    <n v="2"/>
    <n v="80"/>
    <n v="1"/>
    <n v="15"/>
    <n v="2"/>
    <n v="4"/>
    <n v="7"/>
    <n v="7"/>
    <x v="7"/>
    <x v="10"/>
  </r>
  <r>
    <x v="13"/>
    <x v="1"/>
    <x v="1"/>
    <n v="669"/>
    <x v="1"/>
    <x v="0"/>
    <n v="3"/>
    <x v="2"/>
    <n v="1"/>
    <n v="1184"/>
    <n v="4"/>
    <x v="1"/>
    <x v="28"/>
    <n v="2"/>
    <n v="2"/>
    <x v="4"/>
    <n v="1"/>
    <x v="0"/>
    <x v="798"/>
    <n v="25755"/>
    <n v="0"/>
    <s v="Y"/>
    <x v="1"/>
    <n v="20"/>
    <n v="4"/>
    <n v="3"/>
    <n v="80"/>
    <n v="0"/>
    <n v="14"/>
    <n v="3"/>
    <n v="3"/>
    <n v="13"/>
    <n v="9"/>
    <x v="5"/>
    <x v="12"/>
  </r>
  <r>
    <x v="10"/>
    <x v="1"/>
    <x v="1"/>
    <n v="636"/>
    <x v="1"/>
    <x v="18"/>
    <n v="4"/>
    <x v="1"/>
    <n v="1"/>
    <n v="1185"/>
    <n v="4"/>
    <x v="1"/>
    <x v="35"/>
    <n v="2"/>
    <n v="1"/>
    <x v="2"/>
    <n v="4"/>
    <x v="1"/>
    <x v="799"/>
    <n v="26537"/>
    <n v="1"/>
    <s v="Y"/>
    <x v="1"/>
    <n v="13"/>
    <n v="3"/>
    <n v="2"/>
    <n v="80"/>
    <n v="1"/>
    <n v="2"/>
    <n v="2"/>
    <n v="4"/>
    <n v="2"/>
    <n v="2"/>
    <x v="3"/>
    <x v="3"/>
  </r>
  <r>
    <x v="23"/>
    <x v="0"/>
    <x v="0"/>
    <n v="1372"/>
    <x v="0"/>
    <x v="14"/>
    <n v="3"/>
    <x v="3"/>
    <n v="1"/>
    <n v="1188"/>
    <n v="1"/>
    <x v="0"/>
    <x v="65"/>
    <n v="1"/>
    <n v="2"/>
    <x v="0"/>
    <n v="3"/>
    <x v="0"/>
    <x v="800"/>
    <n v="9489"/>
    <n v="8"/>
    <s v="Y"/>
    <x v="1"/>
    <n v="13"/>
    <n v="3"/>
    <n v="2"/>
    <n v="80"/>
    <n v="0"/>
    <n v="7"/>
    <n v="2"/>
    <n v="2"/>
    <n v="4"/>
    <n v="3"/>
    <x v="1"/>
    <x v="6"/>
  </r>
  <r>
    <x v="5"/>
    <x v="1"/>
    <x v="2"/>
    <n v="862"/>
    <x v="0"/>
    <x v="2"/>
    <n v="1"/>
    <x v="0"/>
    <n v="1"/>
    <n v="1190"/>
    <n v="3"/>
    <x v="0"/>
    <x v="43"/>
    <n v="3"/>
    <n v="1"/>
    <x v="6"/>
    <n v="1"/>
    <x v="2"/>
    <x v="801"/>
    <n v="14947"/>
    <n v="1"/>
    <s v="Y"/>
    <x v="1"/>
    <n v="12"/>
    <n v="3"/>
    <n v="3"/>
    <n v="80"/>
    <n v="3"/>
    <n v="1"/>
    <n v="3"/>
    <n v="3"/>
    <n v="1"/>
    <n v="0"/>
    <x v="0"/>
    <x v="2"/>
  </r>
  <r>
    <x v="29"/>
    <x v="1"/>
    <x v="0"/>
    <n v="718"/>
    <x v="1"/>
    <x v="18"/>
    <n v="4"/>
    <x v="4"/>
    <n v="1"/>
    <n v="1191"/>
    <n v="4"/>
    <x v="0"/>
    <x v="2"/>
    <n v="3"/>
    <n v="5"/>
    <x v="5"/>
    <n v="1"/>
    <x v="2"/>
    <x v="802"/>
    <n v="18575"/>
    <n v="4"/>
    <s v="Y"/>
    <x v="1"/>
    <n v="13"/>
    <n v="3"/>
    <n v="4"/>
    <n v="80"/>
    <n v="1"/>
    <n v="28"/>
    <n v="2"/>
    <n v="3"/>
    <n v="5"/>
    <n v="2"/>
    <x v="5"/>
    <x v="3"/>
  </r>
  <r>
    <x v="11"/>
    <x v="1"/>
    <x v="0"/>
    <n v="1401"/>
    <x v="1"/>
    <x v="16"/>
    <n v="1"/>
    <x v="2"/>
    <n v="1"/>
    <n v="1192"/>
    <n v="2"/>
    <x v="0"/>
    <x v="60"/>
    <n v="3"/>
    <n v="1"/>
    <x v="2"/>
    <n v="4"/>
    <x v="1"/>
    <x v="803"/>
    <n v="26342"/>
    <n v="1"/>
    <s v="Y"/>
    <x v="1"/>
    <n v="13"/>
    <n v="3"/>
    <n v="1"/>
    <n v="80"/>
    <n v="1"/>
    <n v="10"/>
    <n v="5"/>
    <n v="3"/>
    <n v="10"/>
    <n v="8"/>
    <x v="0"/>
    <x v="5"/>
  </r>
  <r>
    <x v="37"/>
    <x v="1"/>
    <x v="0"/>
    <n v="645"/>
    <x v="1"/>
    <x v="14"/>
    <n v="2"/>
    <x v="0"/>
    <n v="1"/>
    <n v="1193"/>
    <n v="3"/>
    <x v="1"/>
    <x v="60"/>
    <n v="3"/>
    <n v="1"/>
    <x v="1"/>
    <n v="1"/>
    <x v="0"/>
    <x v="804"/>
    <n v="7172"/>
    <n v="1"/>
    <s v="Y"/>
    <x v="1"/>
    <n v="25"/>
    <n v="4"/>
    <n v="3"/>
    <n v="80"/>
    <n v="0"/>
    <n v="1"/>
    <n v="4"/>
    <n v="3"/>
    <n v="1"/>
    <n v="1"/>
    <x v="0"/>
    <x v="2"/>
  </r>
  <r>
    <x v="28"/>
    <x v="1"/>
    <x v="0"/>
    <n v="1457"/>
    <x v="1"/>
    <x v="15"/>
    <n v="3"/>
    <x v="2"/>
    <n v="1"/>
    <n v="1195"/>
    <n v="1"/>
    <x v="0"/>
    <x v="21"/>
    <n v="3"/>
    <n v="1"/>
    <x v="1"/>
    <n v="3"/>
    <x v="1"/>
    <x v="805"/>
    <n v="20100"/>
    <n v="4"/>
    <s v="Y"/>
    <x v="0"/>
    <n v="19"/>
    <n v="3"/>
    <n v="3"/>
    <n v="80"/>
    <n v="1"/>
    <n v="7"/>
    <n v="2"/>
    <n v="2"/>
    <n v="3"/>
    <n v="2"/>
    <x v="0"/>
    <x v="3"/>
  </r>
  <r>
    <x v="2"/>
    <x v="1"/>
    <x v="0"/>
    <n v="977"/>
    <x v="1"/>
    <x v="0"/>
    <n v="3"/>
    <x v="0"/>
    <n v="1"/>
    <n v="1196"/>
    <n v="4"/>
    <x v="0"/>
    <x v="3"/>
    <n v="2"/>
    <n v="2"/>
    <x v="3"/>
    <n v="4"/>
    <x v="1"/>
    <x v="806"/>
    <n v="9961"/>
    <n v="1"/>
    <s v="Y"/>
    <x v="1"/>
    <n v="13"/>
    <n v="3"/>
    <n v="2"/>
    <n v="80"/>
    <n v="1"/>
    <n v="14"/>
    <n v="2"/>
    <n v="2"/>
    <n v="14"/>
    <n v="8"/>
    <x v="2"/>
    <x v="7"/>
  </r>
  <r>
    <x v="35"/>
    <x v="1"/>
    <x v="0"/>
    <n v="805"/>
    <x v="1"/>
    <x v="3"/>
    <n v="3"/>
    <x v="0"/>
    <n v="1"/>
    <n v="1198"/>
    <n v="1"/>
    <x v="1"/>
    <x v="44"/>
    <n v="2"/>
    <n v="1"/>
    <x v="2"/>
    <n v="3"/>
    <x v="0"/>
    <x v="807"/>
    <n v="12828"/>
    <n v="1"/>
    <s v="Y"/>
    <x v="1"/>
    <n v="12"/>
    <n v="3"/>
    <n v="1"/>
    <n v="80"/>
    <n v="0"/>
    <n v="2"/>
    <n v="2"/>
    <n v="2"/>
    <n v="2"/>
    <n v="2"/>
    <x v="1"/>
    <x v="3"/>
  </r>
  <r>
    <x v="20"/>
    <x v="0"/>
    <x v="0"/>
    <n v="1097"/>
    <x v="1"/>
    <x v="17"/>
    <n v="4"/>
    <x v="0"/>
    <n v="1"/>
    <n v="1200"/>
    <n v="3"/>
    <x v="1"/>
    <x v="16"/>
    <n v="3"/>
    <n v="1"/>
    <x v="1"/>
    <n v="3"/>
    <x v="0"/>
    <x v="808"/>
    <n v="10826"/>
    <n v="1"/>
    <s v="Y"/>
    <x v="0"/>
    <n v="11"/>
    <n v="3"/>
    <n v="3"/>
    <n v="80"/>
    <n v="0"/>
    <n v="6"/>
    <n v="4"/>
    <n v="3"/>
    <n v="6"/>
    <n v="4"/>
    <x v="0"/>
    <x v="3"/>
  </r>
  <r>
    <x v="16"/>
    <x v="1"/>
    <x v="0"/>
    <n v="1223"/>
    <x v="1"/>
    <x v="15"/>
    <n v="2"/>
    <x v="2"/>
    <n v="1"/>
    <n v="1201"/>
    <n v="4"/>
    <x v="0"/>
    <x v="13"/>
    <n v="3"/>
    <n v="5"/>
    <x v="5"/>
    <n v="3"/>
    <x v="2"/>
    <x v="809"/>
    <n v="18640"/>
    <n v="3"/>
    <s v="Y"/>
    <x v="1"/>
    <n v="18"/>
    <n v="3"/>
    <n v="2"/>
    <n v="80"/>
    <n v="1"/>
    <n v="26"/>
    <n v="6"/>
    <n v="3"/>
    <n v="7"/>
    <n v="7"/>
    <x v="5"/>
    <x v="1"/>
  </r>
  <r>
    <x v="11"/>
    <x v="1"/>
    <x v="0"/>
    <n v="942"/>
    <x v="1"/>
    <x v="8"/>
    <n v="1"/>
    <x v="0"/>
    <n v="1"/>
    <n v="1202"/>
    <n v="2"/>
    <x v="0"/>
    <x v="68"/>
    <n v="1"/>
    <n v="1"/>
    <x v="1"/>
    <n v="4"/>
    <x v="1"/>
    <x v="810"/>
    <n v="26933"/>
    <n v="0"/>
    <s v="Y"/>
    <x v="0"/>
    <n v="18"/>
    <n v="3"/>
    <n v="1"/>
    <n v="80"/>
    <n v="1"/>
    <n v="6"/>
    <n v="2"/>
    <n v="2"/>
    <n v="5"/>
    <n v="4"/>
    <x v="1"/>
    <x v="6"/>
  </r>
  <r>
    <x v="15"/>
    <x v="0"/>
    <x v="1"/>
    <n v="1256"/>
    <x v="1"/>
    <x v="3"/>
    <n v="4"/>
    <x v="0"/>
    <n v="1"/>
    <n v="1203"/>
    <n v="3"/>
    <x v="1"/>
    <x v="24"/>
    <n v="2"/>
    <n v="1"/>
    <x v="1"/>
    <n v="4"/>
    <x v="1"/>
    <x v="811"/>
    <n v="4223"/>
    <n v="0"/>
    <s v="Y"/>
    <x v="0"/>
    <n v="11"/>
    <n v="3"/>
    <n v="2"/>
    <n v="80"/>
    <n v="1"/>
    <n v="1"/>
    <n v="5"/>
    <n v="3"/>
    <n v="0"/>
    <n v="0"/>
    <x v="0"/>
    <x v="2"/>
  </r>
  <r>
    <x v="21"/>
    <x v="1"/>
    <x v="0"/>
    <n v="1402"/>
    <x v="0"/>
    <x v="2"/>
    <n v="3"/>
    <x v="3"/>
    <n v="1"/>
    <n v="1204"/>
    <n v="3"/>
    <x v="0"/>
    <x v="68"/>
    <n v="3"/>
    <n v="4"/>
    <x v="5"/>
    <n v="1"/>
    <x v="1"/>
    <x v="812"/>
    <n v="24097"/>
    <n v="8"/>
    <s v="Y"/>
    <x v="1"/>
    <n v="23"/>
    <n v="4"/>
    <n v="1"/>
    <n v="80"/>
    <n v="0"/>
    <n v="28"/>
    <n v="2"/>
    <n v="3"/>
    <n v="26"/>
    <n v="15"/>
    <x v="9"/>
    <x v="12"/>
  </r>
  <r>
    <x v="20"/>
    <x v="1"/>
    <x v="2"/>
    <n v="111"/>
    <x v="1"/>
    <x v="27"/>
    <n v="3"/>
    <x v="0"/>
    <n v="1"/>
    <n v="1206"/>
    <n v="4"/>
    <x v="1"/>
    <x v="69"/>
    <n v="1"/>
    <n v="1"/>
    <x v="1"/>
    <n v="3"/>
    <x v="0"/>
    <x v="813"/>
    <n v="4279"/>
    <n v="2"/>
    <s v="Y"/>
    <x v="1"/>
    <n v="13"/>
    <n v="3"/>
    <n v="4"/>
    <n v="80"/>
    <n v="0"/>
    <n v="6"/>
    <n v="3"/>
    <n v="3"/>
    <n v="0"/>
    <n v="0"/>
    <x v="0"/>
    <x v="2"/>
  </r>
  <r>
    <x v="3"/>
    <x v="1"/>
    <x v="0"/>
    <n v="147"/>
    <x v="2"/>
    <x v="2"/>
    <n v="3"/>
    <x v="5"/>
    <n v="1"/>
    <n v="1207"/>
    <n v="2"/>
    <x v="1"/>
    <x v="39"/>
    <n v="3"/>
    <n v="1"/>
    <x v="8"/>
    <n v="3"/>
    <x v="1"/>
    <x v="814"/>
    <n v="8429"/>
    <n v="1"/>
    <s v="Y"/>
    <x v="1"/>
    <n v="13"/>
    <n v="3"/>
    <n v="4"/>
    <n v="80"/>
    <n v="1"/>
    <n v="5"/>
    <n v="2"/>
    <n v="3"/>
    <n v="5"/>
    <n v="4"/>
    <x v="1"/>
    <x v="10"/>
  </r>
  <r>
    <x v="0"/>
    <x v="0"/>
    <x v="2"/>
    <n v="906"/>
    <x v="1"/>
    <x v="12"/>
    <n v="2"/>
    <x v="0"/>
    <n v="1"/>
    <n v="1210"/>
    <n v="1"/>
    <x v="1"/>
    <x v="41"/>
    <n v="2"/>
    <n v="1"/>
    <x v="1"/>
    <n v="1"/>
    <x v="2"/>
    <x v="815"/>
    <n v="20293"/>
    <n v="6"/>
    <s v="Y"/>
    <x v="1"/>
    <n v="17"/>
    <n v="3"/>
    <n v="1"/>
    <n v="80"/>
    <n v="1"/>
    <n v="5"/>
    <n v="2"/>
    <n v="1"/>
    <n v="1"/>
    <n v="0"/>
    <x v="0"/>
    <x v="2"/>
  </r>
  <r>
    <x v="7"/>
    <x v="1"/>
    <x v="0"/>
    <n v="1329"/>
    <x v="0"/>
    <x v="22"/>
    <n v="4"/>
    <x v="0"/>
    <n v="1"/>
    <n v="1211"/>
    <n v="3"/>
    <x v="1"/>
    <x v="1"/>
    <n v="3"/>
    <n v="2"/>
    <x v="0"/>
    <n v="1"/>
    <x v="2"/>
    <x v="816"/>
    <n v="13192"/>
    <n v="8"/>
    <s v="Y"/>
    <x v="1"/>
    <n v="19"/>
    <n v="3"/>
    <n v="3"/>
    <n v="80"/>
    <n v="3"/>
    <n v="8"/>
    <n v="3"/>
    <n v="3"/>
    <n v="4"/>
    <n v="3"/>
    <x v="0"/>
    <x v="6"/>
  </r>
  <r>
    <x v="32"/>
    <x v="1"/>
    <x v="1"/>
    <n v="1184"/>
    <x v="0"/>
    <x v="2"/>
    <n v="4"/>
    <x v="2"/>
    <n v="1"/>
    <n v="1212"/>
    <n v="2"/>
    <x v="1"/>
    <x v="50"/>
    <n v="3"/>
    <n v="2"/>
    <x v="0"/>
    <n v="2"/>
    <x v="1"/>
    <x v="817"/>
    <n v="25440"/>
    <n v="5"/>
    <s v="Y"/>
    <x v="1"/>
    <n v="12"/>
    <n v="3"/>
    <n v="4"/>
    <n v="80"/>
    <n v="3"/>
    <n v="5"/>
    <n v="2"/>
    <n v="3"/>
    <n v="0"/>
    <n v="0"/>
    <x v="0"/>
    <x v="2"/>
  </r>
  <r>
    <x v="24"/>
    <x v="1"/>
    <x v="1"/>
    <n v="1421"/>
    <x v="1"/>
    <x v="2"/>
    <n v="3"/>
    <x v="2"/>
    <n v="1"/>
    <n v="1215"/>
    <n v="4"/>
    <x v="0"/>
    <x v="37"/>
    <n v="3"/>
    <n v="4"/>
    <x v="5"/>
    <n v="1"/>
    <x v="1"/>
    <x v="818"/>
    <n v="9490"/>
    <n v="2"/>
    <s v="Y"/>
    <x v="1"/>
    <n v="22"/>
    <n v="4"/>
    <n v="3"/>
    <n v="80"/>
    <n v="1"/>
    <n v="32"/>
    <n v="3"/>
    <n v="3"/>
    <n v="2"/>
    <n v="2"/>
    <x v="3"/>
    <x v="3"/>
  </r>
  <r>
    <x v="14"/>
    <x v="1"/>
    <x v="0"/>
    <n v="1179"/>
    <x v="1"/>
    <x v="10"/>
    <n v="4"/>
    <x v="2"/>
    <n v="1"/>
    <n v="1216"/>
    <n v="4"/>
    <x v="1"/>
    <x v="17"/>
    <n v="2"/>
    <n v="1"/>
    <x v="2"/>
    <n v="1"/>
    <x v="1"/>
    <x v="819"/>
    <n v="12449"/>
    <n v="1"/>
    <s v="Y"/>
    <x v="1"/>
    <n v="12"/>
    <n v="3"/>
    <n v="3"/>
    <n v="80"/>
    <n v="3"/>
    <n v="6"/>
    <n v="2"/>
    <n v="3"/>
    <n v="6"/>
    <n v="5"/>
    <x v="2"/>
    <x v="6"/>
  </r>
  <r>
    <x v="21"/>
    <x v="1"/>
    <x v="0"/>
    <n v="1450"/>
    <x v="1"/>
    <x v="8"/>
    <n v="2"/>
    <x v="0"/>
    <n v="1"/>
    <n v="1217"/>
    <n v="4"/>
    <x v="1"/>
    <x v="48"/>
    <n v="3"/>
    <n v="5"/>
    <x v="7"/>
    <n v="2"/>
    <x v="1"/>
    <x v="820"/>
    <n v="10849"/>
    <n v="5"/>
    <s v="Y"/>
    <x v="1"/>
    <n v="11"/>
    <n v="3"/>
    <n v="1"/>
    <n v="80"/>
    <n v="1"/>
    <n v="25"/>
    <n v="2"/>
    <n v="3"/>
    <n v="4"/>
    <n v="2"/>
    <x v="0"/>
    <x v="6"/>
  </r>
  <r>
    <x v="10"/>
    <x v="1"/>
    <x v="0"/>
    <n v="1361"/>
    <x v="0"/>
    <x v="27"/>
    <n v="4"/>
    <x v="0"/>
    <n v="1"/>
    <n v="1218"/>
    <n v="3"/>
    <x v="1"/>
    <x v="0"/>
    <n v="3"/>
    <n v="2"/>
    <x v="0"/>
    <n v="1"/>
    <x v="1"/>
    <x v="821"/>
    <n v="21026"/>
    <n v="3"/>
    <s v="Y"/>
    <x v="0"/>
    <n v="15"/>
    <n v="3"/>
    <n v="4"/>
    <n v="80"/>
    <n v="3"/>
    <n v="15"/>
    <n v="2"/>
    <n v="3"/>
    <n v="7"/>
    <n v="7"/>
    <x v="1"/>
    <x v="1"/>
  </r>
  <r>
    <x v="17"/>
    <x v="0"/>
    <x v="0"/>
    <n v="984"/>
    <x v="1"/>
    <x v="27"/>
    <n v="2"/>
    <x v="0"/>
    <n v="1"/>
    <n v="1219"/>
    <n v="4"/>
    <x v="0"/>
    <x v="28"/>
    <n v="3"/>
    <n v="1"/>
    <x v="2"/>
    <n v="2"/>
    <x v="1"/>
    <x v="822"/>
    <n v="3372"/>
    <n v="1"/>
    <s v="Y"/>
    <x v="1"/>
    <n v="13"/>
    <n v="3"/>
    <n v="1"/>
    <n v="80"/>
    <n v="1"/>
    <n v="1"/>
    <n v="3"/>
    <n v="1"/>
    <n v="1"/>
    <n v="0"/>
    <x v="0"/>
    <x v="2"/>
  </r>
  <r>
    <x v="3"/>
    <x v="1"/>
    <x v="1"/>
    <n v="1146"/>
    <x v="0"/>
    <x v="19"/>
    <n v="3"/>
    <x v="2"/>
    <n v="1"/>
    <n v="1220"/>
    <n v="2"/>
    <x v="0"/>
    <x v="19"/>
    <n v="3"/>
    <n v="2"/>
    <x v="0"/>
    <n v="3"/>
    <x v="1"/>
    <x v="823"/>
    <n v="4905"/>
    <n v="1"/>
    <s v="Y"/>
    <x v="1"/>
    <n v="12"/>
    <n v="3"/>
    <n v="1"/>
    <n v="80"/>
    <n v="1"/>
    <n v="10"/>
    <n v="3"/>
    <n v="2"/>
    <n v="10"/>
    <n v="7"/>
    <x v="0"/>
    <x v="9"/>
  </r>
  <r>
    <x v="9"/>
    <x v="1"/>
    <x v="0"/>
    <n v="917"/>
    <x v="1"/>
    <x v="16"/>
    <n v="4"/>
    <x v="0"/>
    <n v="1"/>
    <n v="1221"/>
    <n v="3"/>
    <x v="1"/>
    <x v="53"/>
    <n v="1"/>
    <n v="1"/>
    <x v="2"/>
    <n v="3"/>
    <x v="2"/>
    <x v="199"/>
    <n v="6865"/>
    <n v="1"/>
    <s v="Y"/>
    <x v="1"/>
    <n v="14"/>
    <n v="3"/>
    <n v="3"/>
    <n v="80"/>
    <n v="1"/>
    <n v="7"/>
    <n v="4"/>
    <n v="3"/>
    <n v="7"/>
    <n v="7"/>
    <x v="1"/>
    <x v="1"/>
  </r>
  <r>
    <x v="7"/>
    <x v="1"/>
    <x v="0"/>
    <n v="853"/>
    <x v="1"/>
    <x v="15"/>
    <n v="4"/>
    <x v="0"/>
    <n v="1"/>
    <n v="1224"/>
    <n v="3"/>
    <x v="1"/>
    <x v="10"/>
    <n v="3"/>
    <n v="2"/>
    <x v="2"/>
    <n v="3"/>
    <x v="2"/>
    <x v="824"/>
    <n v="11309"/>
    <n v="1"/>
    <s v="Y"/>
    <x v="1"/>
    <n v="13"/>
    <n v="3"/>
    <n v="1"/>
    <n v="80"/>
    <n v="3"/>
    <n v="10"/>
    <n v="4"/>
    <n v="2"/>
    <n v="10"/>
    <n v="7"/>
    <x v="6"/>
    <x v="12"/>
  </r>
  <r>
    <x v="20"/>
    <x v="1"/>
    <x v="0"/>
    <n v="200"/>
    <x v="1"/>
    <x v="22"/>
    <n v="4"/>
    <x v="1"/>
    <n v="1"/>
    <n v="1225"/>
    <n v="4"/>
    <x v="1"/>
    <x v="47"/>
    <n v="3"/>
    <n v="2"/>
    <x v="1"/>
    <n v="4"/>
    <x v="0"/>
    <x v="825"/>
    <n v="7744"/>
    <n v="1"/>
    <s v="Y"/>
    <x v="1"/>
    <n v="25"/>
    <n v="4"/>
    <n v="2"/>
    <n v="80"/>
    <n v="0"/>
    <n v="20"/>
    <n v="3"/>
    <n v="3"/>
    <n v="20"/>
    <n v="11"/>
    <x v="11"/>
    <x v="8"/>
  </r>
  <r>
    <x v="35"/>
    <x v="1"/>
    <x v="0"/>
    <n v="654"/>
    <x v="0"/>
    <x v="11"/>
    <n v="3"/>
    <x v="3"/>
    <n v="1"/>
    <n v="1226"/>
    <n v="3"/>
    <x v="1"/>
    <x v="38"/>
    <n v="4"/>
    <n v="1"/>
    <x v="6"/>
    <n v="4"/>
    <x v="0"/>
    <x v="826"/>
    <n v="5050"/>
    <n v="1"/>
    <s v="Y"/>
    <x v="1"/>
    <n v="17"/>
    <n v="3"/>
    <n v="4"/>
    <n v="80"/>
    <n v="0"/>
    <n v="2"/>
    <n v="2"/>
    <n v="3"/>
    <n v="2"/>
    <n v="1"/>
    <x v="3"/>
    <x v="3"/>
  </r>
  <r>
    <x v="21"/>
    <x v="1"/>
    <x v="0"/>
    <n v="150"/>
    <x v="1"/>
    <x v="2"/>
    <n v="4"/>
    <x v="4"/>
    <n v="1"/>
    <n v="1228"/>
    <n v="4"/>
    <x v="1"/>
    <x v="53"/>
    <n v="3"/>
    <n v="2"/>
    <x v="3"/>
    <n v="4"/>
    <x v="2"/>
    <x v="827"/>
    <n v="17433"/>
    <n v="2"/>
    <s v="Y"/>
    <x v="1"/>
    <n v="11"/>
    <n v="3"/>
    <n v="3"/>
    <n v="80"/>
    <n v="1"/>
    <n v="12"/>
    <n v="3"/>
    <n v="2"/>
    <n v="6"/>
    <n v="3"/>
    <x v="1"/>
    <x v="10"/>
  </r>
  <r>
    <x v="19"/>
    <x v="1"/>
    <x v="2"/>
    <n v="179"/>
    <x v="2"/>
    <x v="2"/>
    <n v="5"/>
    <x v="2"/>
    <n v="1"/>
    <n v="1231"/>
    <n v="4"/>
    <x v="1"/>
    <x v="5"/>
    <n v="4"/>
    <n v="2"/>
    <x v="8"/>
    <n v="1"/>
    <x v="1"/>
    <x v="458"/>
    <n v="12858"/>
    <n v="7"/>
    <s v="Y"/>
    <x v="1"/>
    <n v="16"/>
    <n v="3"/>
    <n v="1"/>
    <n v="80"/>
    <n v="1"/>
    <n v="10"/>
    <n v="3"/>
    <n v="4"/>
    <n v="4"/>
    <n v="3"/>
    <x v="0"/>
    <x v="6"/>
  </r>
  <r>
    <x v="42"/>
    <x v="1"/>
    <x v="0"/>
    <n v="696"/>
    <x v="0"/>
    <x v="15"/>
    <n v="4"/>
    <x v="3"/>
    <n v="1"/>
    <n v="1233"/>
    <n v="2"/>
    <x v="1"/>
    <x v="48"/>
    <n v="4"/>
    <n v="2"/>
    <x v="0"/>
    <n v="4"/>
    <x v="2"/>
    <x v="828"/>
    <n v="10893"/>
    <n v="0"/>
    <s v="Y"/>
    <x v="0"/>
    <n v="18"/>
    <n v="3"/>
    <n v="2"/>
    <n v="80"/>
    <n v="1"/>
    <n v="12"/>
    <n v="3"/>
    <n v="3"/>
    <n v="11"/>
    <n v="7"/>
    <x v="1"/>
    <x v="12"/>
  </r>
  <r>
    <x v="5"/>
    <x v="1"/>
    <x v="1"/>
    <n v="116"/>
    <x v="1"/>
    <x v="28"/>
    <n v="3"/>
    <x v="1"/>
    <n v="1"/>
    <n v="1234"/>
    <n v="3"/>
    <x v="0"/>
    <x v="57"/>
    <n v="2"/>
    <n v="1"/>
    <x v="2"/>
    <n v="2"/>
    <x v="1"/>
    <x v="714"/>
    <n v="7331"/>
    <n v="1"/>
    <s v="Y"/>
    <x v="1"/>
    <n v="20"/>
    <n v="4"/>
    <n v="3"/>
    <n v="80"/>
    <n v="1"/>
    <n v="2"/>
    <n v="2"/>
    <n v="3"/>
    <n v="2"/>
    <n v="2"/>
    <x v="3"/>
    <x v="3"/>
  </r>
  <r>
    <x v="5"/>
    <x v="1"/>
    <x v="1"/>
    <n v="1316"/>
    <x v="1"/>
    <x v="2"/>
    <n v="2"/>
    <x v="0"/>
    <n v="1"/>
    <n v="1235"/>
    <n v="4"/>
    <x v="0"/>
    <x v="70"/>
    <n v="3"/>
    <n v="2"/>
    <x v="1"/>
    <n v="3"/>
    <x v="0"/>
    <x v="829"/>
    <n v="2338"/>
    <n v="4"/>
    <s v="Y"/>
    <x v="0"/>
    <n v="14"/>
    <n v="3"/>
    <n v="4"/>
    <n v="80"/>
    <n v="0"/>
    <n v="10"/>
    <n v="2"/>
    <n v="3"/>
    <n v="8"/>
    <n v="7"/>
    <x v="0"/>
    <x v="1"/>
  </r>
  <r>
    <x v="9"/>
    <x v="1"/>
    <x v="0"/>
    <n v="363"/>
    <x v="1"/>
    <x v="0"/>
    <n v="3"/>
    <x v="4"/>
    <n v="1"/>
    <n v="1237"/>
    <n v="3"/>
    <x v="0"/>
    <x v="57"/>
    <n v="1"/>
    <n v="3"/>
    <x v="3"/>
    <n v="1"/>
    <x v="2"/>
    <x v="830"/>
    <n v="4235"/>
    <n v="2"/>
    <s v="Y"/>
    <x v="0"/>
    <n v="21"/>
    <n v="4"/>
    <n v="3"/>
    <n v="80"/>
    <n v="1"/>
    <n v="17"/>
    <n v="2"/>
    <n v="3"/>
    <n v="7"/>
    <n v="7"/>
    <x v="4"/>
    <x v="1"/>
  </r>
  <r>
    <x v="3"/>
    <x v="1"/>
    <x v="0"/>
    <n v="117"/>
    <x v="1"/>
    <x v="14"/>
    <n v="3"/>
    <x v="2"/>
    <n v="1"/>
    <n v="1238"/>
    <n v="1"/>
    <x v="1"/>
    <x v="53"/>
    <n v="3"/>
    <n v="1"/>
    <x v="1"/>
    <n v="4"/>
    <x v="1"/>
    <x v="831"/>
    <n v="6311"/>
    <n v="0"/>
    <s v="Y"/>
    <x v="1"/>
    <n v="13"/>
    <n v="3"/>
    <n v="2"/>
    <n v="80"/>
    <n v="1"/>
    <n v="15"/>
    <n v="5"/>
    <n v="3"/>
    <n v="14"/>
    <n v="10"/>
    <x v="5"/>
    <x v="13"/>
  </r>
  <r>
    <x v="32"/>
    <x v="1"/>
    <x v="0"/>
    <n v="107"/>
    <x v="0"/>
    <x v="17"/>
    <n v="3"/>
    <x v="4"/>
    <n v="1"/>
    <n v="1239"/>
    <n v="2"/>
    <x v="0"/>
    <x v="9"/>
    <n v="2"/>
    <n v="2"/>
    <x v="0"/>
    <n v="2"/>
    <x v="2"/>
    <x v="832"/>
    <n v="11591"/>
    <n v="7"/>
    <s v="Y"/>
    <x v="1"/>
    <n v="12"/>
    <n v="3"/>
    <n v="2"/>
    <n v="80"/>
    <n v="1"/>
    <n v="7"/>
    <n v="2"/>
    <n v="4"/>
    <n v="5"/>
    <n v="1"/>
    <x v="1"/>
    <x v="6"/>
  </r>
  <r>
    <x v="36"/>
    <x v="1"/>
    <x v="0"/>
    <n v="1356"/>
    <x v="0"/>
    <x v="17"/>
    <n v="4"/>
    <x v="0"/>
    <n v="1"/>
    <n v="1240"/>
    <n v="3"/>
    <x v="1"/>
    <x v="42"/>
    <n v="3"/>
    <n v="2"/>
    <x v="0"/>
    <n v="4"/>
    <x v="0"/>
    <x v="833"/>
    <n v="20623"/>
    <n v="0"/>
    <s v="Y"/>
    <x v="1"/>
    <n v="14"/>
    <n v="3"/>
    <n v="2"/>
    <n v="80"/>
    <n v="0"/>
    <n v="5"/>
    <n v="4"/>
    <n v="3"/>
    <n v="4"/>
    <n v="3"/>
    <x v="1"/>
    <x v="9"/>
  </r>
  <r>
    <x v="7"/>
    <x v="1"/>
    <x v="0"/>
    <n v="1465"/>
    <x v="1"/>
    <x v="0"/>
    <n v="3"/>
    <x v="2"/>
    <n v="1"/>
    <n v="1241"/>
    <n v="4"/>
    <x v="1"/>
    <x v="52"/>
    <n v="3"/>
    <n v="1"/>
    <x v="1"/>
    <n v="2"/>
    <x v="1"/>
    <x v="834"/>
    <n v="9369"/>
    <n v="0"/>
    <s v="Y"/>
    <x v="0"/>
    <n v="21"/>
    <n v="4"/>
    <n v="1"/>
    <n v="80"/>
    <n v="1"/>
    <n v="12"/>
    <n v="2"/>
    <n v="3"/>
    <n v="11"/>
    <n v="9"/>
    <x v="8"/>
    <x v="1"/>
  </r>
  <r>
    <x v="19"/>
    <x v="1"/>
    <x v="1"/>
    <n v="458"/>
    <x v="1"/>
    <x v="9"/>
    <n v="5"/>
    <x v="2"/>
    <n v="1"/>
    <n v="1242"/>
    <n v="1"/>
    <x v="0"/>
    <x v="53"/>
    <n v="3"/>
    <n v="3"/>
    <x v="7"/>
    <n v="1"/>
    <x v="1"/>
    <x v="835"/>
    <n v="23281"/>
    <n v="3"/>
    <s v="Y"/>
    <x v="0"/>
    <n v="17"/>
    <n v="3"/>
    <n v="3"/>
    <n v="80"/>
    <n v="0"/>
    <n v="20"/>
    <n v="6"/>
    <n v="3"/>
    <n v="1"/>
    <n v="0"/>
    <x v="0"/>
    <x v="2"/>
  </r>
  <r>
    <x v="10"/>
    <x v="1"/>
    <x v="2"/>
    <n v="1212"/>
    <x v="0"/>
    <x v="1"/>
    <n v="2"/>
    <x v="3"/>
    <n v="1"/>
    <n v="1243"/>
    <n v="3"/>
    <x v="0"/>
    <x v="17"/>
    <n v="2"/>
    <n v="3"/>
    <x v="0"/>
    <n v="4"/>
    <x v="1"/>
    <x v="836"/>
    <n v="13755"/>
    <n v="4"/>
    <s v="Y"/>
    <x v="0"/>
    <n v="11"/>
    <n v="3"/>
    <n v="2"/>
    <n v="80"/>
    <n v="1"/>
    <n v="16"/>
    <n v="6"/>
    <n v="2"/>
    <n v="13"/>
    <n v="2"/>
    <x v="5"/>
    <x v="11"/>
  </r>
  <r>
    <x v="4"/>
    <x v="1"/>
    <x v="0"/>
    <n v="1103"/>
    <x v="1"/>
    <x v="24"/>
    <n v="3"/>
    <x v="0"/>
    <n v="1"/>
    <n v="1244"/>
    <n v="1"/>
    <x v="1"/>
    <x v="25"/>
    <n v="3"/>
    <n v="1"/>
    <x v="1"/>
    <n v="1"/>
    <x v="1"/>
    <x v="837"/>
    <n v="14377"/>
    <n v="1"/>
    <s v="Y"/>
    <x v="0"/>
    <n v="14"/>
    <n v="3"/>
    <n v="4"/>
    <n v="80"/>
    <n v="2"/>
    <n v="9"/>
    <n v="3"/>
    <n v="2"/>
    <n v="9"/>
    <n v="7"/>
    <x v="7"/>
    <x v="5"/>
  </r>
  <r>
    <x v="33"/>
    <x v="1"/>
    <x v="1"/>
    <n v="966"/>
    <x v="1"/>
    <x v="0"/>
    <n v="4"/>
    <x v="0"/>
    <n v="1"/>
    <n v="1245"/>
    <n v="4"/>
    <x v="0"/>
    <x v="20"/>
    <n v="3"/>
    <n v="3"/>
    <x v="3"/>
    <n v="3"/>
    <x v="2"/>
    <x v="838"/>
    <n v="9659"/>
    <n v="7"/>
    <s v="Y"/>
    <x v="1"/>
    <n v="17"/>
    <n v="3"/>
    <n v="1"/>
    <n v="80"/>
    <n v="1"/>
    <n v="33"/>
    <n v="2"/>
    <n v="1"/>
    <n v="5"/>
    <n v="4"/>
    <x v="1"/>
    <x v="10"/>
  </r>
  <r>
    <x v="20"/>
    <x v="1"/>
    <x v="0"/>
    <n v="1117"/>
    <x v="1"/>
    <x v="2"/>
    <n v="1"/>
    <x v="0"/>
    <n v="1"/>
    <n v="1246"/>
    <n v="1"/>
    <x v="0"/>
    <x v="23"/>
    <n v="4"/>
    <n v="1"/>
    <x v="1"/>
    <n v="4"/>
    <x v="1"/>
    <x v="839"/>
    <n v="19982"/>
    <n v="1"/>
    <s v="Y"/>
    <x v="1"/>
    <n v="13"/>
    <n v="3"/>
    <n v="4"/>
    <n v="80"/>
    <n v="1"/>
    <n v="10"/>
    <n v="5"/>
    <n v="3"/>
    <n v="10"/>
    <n v="5"/>
    <x v="4"/>
    <x v="1"/>
  </r>
  <r>
    <x v="37"/>
    <x v="0"/>
    <x v="2"/>
    <n v="504"/>
    <x v="1"/>
    <x v="17"/>
    <n v="3"/>
    <x v="2"/>
    <n v="1"/>
    <n v="1248"/>
    <n v="1"/>
    <x v="0"/>
    <x v="16"/>
    <n v="2"/>
    <n v="1"/>
    <x v="1"/>
    <n v="2"/>
    <x v="0"/>
    <x v="840"/>
    <n v="6148"/>
    <n v="1"/>
    <s v="Y"/>
    <x v="0"/>
    <n v="25"/>
    <n v="4"/>
    <n v="2"/>
    <n v="80"/>
    <n v="0"/>
    <n v="1"/>
    <n v="2"/>
    <n v="4"/>
    <n v="1"/>
    <n v="1"/>
    <x v="0"/>
    <x v="2"/>
  </r>
  <r>
    <x v="11"/>
    <x v="1"/>
    <x v="0"/>
    <n v="1010"/>
    <x v="1"/>
    <x v="0"/>
    <n v="3"/>
    <x v="0"/>
    <n v="1"/>
    <n v="1249"/>
    <n v="1"/>
    <x v="0"/>
    <x v="28"/>
    <n v="3"/>
    <n v="1"/>
    <x v="1"/>
    <n v="4"/>
    <x v="2"/>
    <x v="841"/>
    <n v="5598"/>
    <n v="1"/>
    <s v="Y"/>
    <x v="1"/>
    <n v="15"/>
    <n v="3"/>
    <n v="1"/>
    <n v="80"/>
    <n v="3"/>
    <n v="3"/>
    <n v="5"/>
    <n v="3"/>
    <n v="3"/>
    <n v="2"/>
    <x v="1"/>
    <x v="3"/>
  </r>
  <r>
    <x v="33"/>
    <x v="1"/>
    <x v="0"/>
    <n v="685"/>
    <x v="1"/>
    <x v="3"/>
    <n v="3"/>
    <x v="0"/>
    <n v="1"/>
    <n v="1250"/>
    <n v="4"/>
    <x v="1"/>
    <x v="65"/>
    <n v="3"/>
    <n v="4"/>
    <x v="7"/>
    <n v="4"/>
    <x v="1"/>
    <x v="842"/>
    <n v="23474"/>
    <n v="3"/>
    <s v="Y"/>
    <x v="1"/>
    <n v="14"/>
    <n v="3"/>
    <n v="1"/>
    <n v="80"/>
    <n v="0"/>
    <n v="36"/>
    <n v="2"/>
    <n v="3"/>
    <n v="10"/>
    <n v="9"/>
    <x v="0"/>
    <x v="12"/>
  </r>
  <r>
    <x v="12"/>
    <x v="1"/>
    <x v="0"/>
    <n v="1332"/>
    <x v="1"/>
    <x v="13"/>
    <n v="2"/>
    <x v="2"/>
    <n v="1"/>
    <n v="1251"/>
    <n v="3"/>
    <x v="1"/>
    <x v="15"/>
    <n v="3"/>
    <n v="2"/>
    <x v="4"/>
    <n v="1"/>
    <x v="1"/>
    <x v="843"/>
    <n v="17089"/>
    <n v="1"/>
    <s v="Y"/>
    <x v="0"/>
    <n v="12"/>
    <n v="3"/>
    <n v="4"/>
    <n v="80"/>
    <n v="0"/>
    <n v="6"/>
    <n v="2"/>
    <n v="2"/>
    <n v="6"/>
    <n v="5"/>
    <x v="0"/>
    <x v="9"/>
  </r>
  <r>
    <x v="12"/>
    <x v="1"/>
    <x v="0"/>
    <n v="1062"/>
    <x v="1"/>
    <x v="4"/>
    <n v="3"/>
    <x v="2"/>
    <n v="1"/>
    <n v="1252"/>
    <n v="3"/>
    <x v="0"/>
    <x v="16"/>
    <n v="2"/>
    <n v="2"/>
    <x v="4"/>
    <n v="1"/>
    <x v="0"/>
    <x v="844"/>
    <n v="17198"/>
    <n v="1"/>
    <s v="Y"/>
    <x v="1"/>
    <n v="19"/>
    <n v="3"/>
    <n v="2"/>
    <n v="80"/>
    <n v="0"/>
    <n v="10"/>
    <n v="2"/>
    <n v="3"/>
    <n v="10"/>
    <n v="9"/>
    <x v="1"/>
    <x v="5"/>
  </r>
  <r>
    <x v="6"/>
    <x v="1"/>
    <x v="0"/>
    <n v="326"/>
    <x v="0"/>
    <x v="3"/>
    <n v="3"/>
    <x v="0"/>
    <n v="1"/>
    <n v="1254"/>
    <n v="3"/>
    <x v="0"/>
    <x v="24"/>
    <n v="2"/>
    <n v="2"/>
    <x v="0"/>
    <n v="4"/>
    <x v="0"/>
    <x v="845"/>
    <n v="16490"/>
    <n v="5"/>
    <s v="Y"/>
    <x v="1"/>
    <n v="17"/>
    <n v="3"/>
    <n v="4"/>
    <n v="80"/>
    <n v="0"/>
    <n v="13"/>
    <n v="2"/>
    <n v="3"/>
    <n v="6"/>
    <n v="1"/>
    <x v="0"/>
    <x v="0"/>
  </r>
  <r>
    <x v="23"/>
    <x v="1"/>
    <x v="0"/>
    <n v="920"/>
    <x v="1"/>
    <x v="3"/>
    <n v="3"/>
    <x v="0"/>
    <n v="1"/>
    <n v="1255"/>
    <n v="3"/>
    <x v="1"/>
    <x v="16"/>
    <n v="1"/>
    <n v="5"/>
    <x v="7"/>
    <n v="4"/>
    <x v="1"/>
    <x v="846"/>
    <n v="18625"/>
    <n v="3"/>
    <s v="Y"/>
    <x v="1"/>
    <n v="14"/>
    <n v="3"/>
    <n v="2"/>
    <n v="80"/>
    <n v="1"/>
    <n v="25"/>
    <n v="2"/>
    <n v="3"/>
    <n v="8"/>
    <n v="7"/>
    <x v="0"/>
    <x v="1"/>
  </r>
  <r>
    <x v="1"/>
    <x v="1"/>
    <x v="0"/>
    <n v="1098"/>
    <x v="1"/>
    <x v="18"/>
    <n v="2"/>
    <x v="2"/>
    <n v="1"/>
    <n v="1256"/>
    <n v="1"/>
    <x v="1"/>
    <x v="65"/>
    <n v="2"/>
    <n v="5"/>
    <x v="5"/>
    <n v="3"/>
    <x v="1"/>
    <x v="847"/>
    <n v="12124"/>
    <n v="2"/>
    <s v="Y"/>
    <x v="1"/>
    <n v="13"/>
    <n v="3"/>
    <n v="3"/>
    <n v="80"/>
    <n v="1"/>
    <n v="23"/>
    <n v="2"/>
    <n v="4"/>
    <n v="1"/>
    <n v="0"/>
    <x v="0"/>
    <x v="2"/>
  </r>
  <r>
    <x v="9"/>
    <x v="1"/>
    <x v="1"/>
    <n v="469"/>
    <x v="1"/>
    <x v="3"/>
    <n v="3"/>
    <x v="4"/>
    <n v="1"/>
    <n v="1257"/>
    <n v="3"/>
    <x v="1"/>
    <x v="55"/>
    <n v="3"/>
    <n v="1"/>
    <x v="1"/>
    <n v="2"/>
    <x v="1"/>
    <x v="848"/>
    <n v="9256"/>
    <n v="1"/>
    <s v="Y"/>
    <x v="1"/>
    <n v="12"/>
    <n v="3"/>
    <n v="3"/>
    <n v="80"/>
    <n v="0"/>
    <n v="12"/>
    <n v="2"/>
    <n v="2"/>
    <n v="11"/>
    <n v="10"/>
    <x v="0"/>
    <x v="1"/>
  </r>
  <r>
    <x v="26"/>
    <x v="1"/>
    <x v="0"/>
    <n v="969"/>
    <x v="1"/>
    <x v="2"/>
    <n v="2"/>
    <x v="4"/>
    <n v="1"/>
    <n v="1258"/>
    <n v="4"/>
    <x v="1"/>
    <x v="43"/>
    <n v="4"/>
    <n v="1"/>
    <x v="2"/>
    <n v="2"/>
    <x v="0"/>
    <x v="594"/>
    <n v="16620"/>
    <n v="5"/>
    <s v="Y"/>
    <x v="1"/>
    <n v="11"/>
    <n v="3"/>
    <n v="3"/>
    <n v="80"/>
    <n v="0"/>
    <n v="7"/>
    <n v="4"/>
    <n v="2"/>
    <n v="1"/>
    <n v="0"/>
    <x v="0"/>
    <x v="2"/>
  </r>
  <r>
    <x v="4"/>
    <x v="1"/>
    <x v="0"/>
    <n v="1167"/>
    <x v="1"/>
    <x v="18"/>
    <n v="2"/>
    <x v="0"/>
    <n v="1"/>
    <n v="1259"/>
    <n v="1"/>
    <x v="1"/>
    <x v="43"/>
    <n v="3"/>
    <n v="1"/>
    <x v="1"/>
    <n v="3"/>
    <x v="2"/>
    <x v="849"/>
    <n v="3208"/>
    <n v="1"/>
    <s v="Y"/>
    <x v="1"/>
    <n v="11"/>
    <n v="3"/>
    <n v="2"/>
    <n v="80"/>
    <n v="3"/>
    <n v="5"/>
    <n v="2"/>
    <n v="3"/>
    <n v="5"/>
    <n v="3"/>
    <x v="0"/>
    <x v="6"/>
  </r>
  <r>
    <x v="11"/>
    <x v="1"/>
    <x v="0"/>
    <n v="1329"/>
    <x v="1"/>
    <x v="15"/>
    <n v="3"/>
    <x v="0"/>
    <n v="1"/>
    <n v="1260"/>
    <n v="3"/>
    <x v="1"/>
    <x v="19"/>
    <n v="3"/>
    <n v="2"/>
    <x v="4"/>
    <n v="4"/>
    <x v="2"/>
    <x v="850"/>
    <n v="4204"/>
    <n v="1"/>
    <s v="Y"/>
    <x v="0"/>
    <n v="11"/>
    <n v="3"/>
    <n v="2"/>
    <n v="80"/>
    <n v="2"/>
    <n v="6"/>
    <n v="2"/>
    <n v="3"/>
    <n v="6"/>
    <n v="0"/>
    <x v="1"/>
    <x v="2"/>
  </r>
  <r>
    <x v="26"/>
    <x v="1"/>
    <x v="0"/>
    <n v="715"/>
    <x v="1"/>
    <x v="0"/>
    <n v="3"/>
    <x v="0"/>
    <n v="1"/>
    <n v="1263"/>
    <n v="4"/>
    <x v="1"/>
    <x v="43"/>
    <n v="2"/>
    <n v="5"/>
    <x v="7"/>
    <n v="4"/>
    <x v="0"/>
    <x v="851"/>
    <n v="8733"/>
    <n v="6"/>
    <s v="Y"/>
    <x v="1"/>
    <n v="12"/>
    <n v="3"/>
    <n v="3"/>
    <n v="80"/>
    <n v="0"/>
    <n v="25"/>
    <n v="3"/>
    <n v="4"/>
    <n v="1"/>
    <n v="0"/>
    <x v="0"/>
    <x v="2"/>
  </r>
  <r>
    <x v="11"/>
    <x v="1"/>
    <x v="0"/>
    <n v="694"/>
    <x v="1"/>
    <x v="0"/>
    <n v="3"/>
    <x v="0"/>
    <n v="1"/>
    <n v="1264"/>
    <n v="4"/>
    <x v="0"/>
    <x v="44"/>
    <n v="2"/>
    <n v="4"/>
    <x v="7"/>
    <n v="4"/>
    <x v="2"/>
    <x v="852"/>
    <n v="3423"/>
    <n v="3"/>
    <s v="Y"/>
    <x v="1"/>
    <n v="14"/>
    <n v="3"/>
    <n v="2"/>
    <n v="80"/>
    <n v="2"/>
    <n v="9"/>
    <n v="2"/>
    <n v="2"/>
    <n v="7"/>
    <n v="7"/>
    <x v="1"/>
    <x v="1"/>
  </r>
  <r>
    <x v="13"/>
    <x v="1"/>
    <x v="0"/>
    <n v="1320"/>
    <x v="1"/>
    <x v="25"/>
    <n v="3"/>
    <x v="4"/>
    <n v="1"/>
    <n v="1265"/>
    <n v="3"/>
    <x v="0"/>
    <x v="66"/>
    <n v="4"/>
    <n v="1"/>
    <x v="1"/>
    <n v="3"/>
    <x v="1"/>
    <x v="853"/>
    <n v="21643"/>
    <n v="0"/>
    <s v="Y"/>
    <x v="1"/>
    <n v="17"/>
    <n v="3"/>
    <n v="4"/>
    <n v="80"/>
    <n v="0"/>
    <n v="2"/>
    <n v="5"/>
    <n v="2"/>
    <n v="1"/>
    <n v="0"/>
    <x v="0"/>
    <x v="2"/>
  </r>
  <r>
    <x v="20"/>
    <x v="1"/>
    <x v="0"/>
    <n v="1099"/>
    <x v="0"/>
    <x v="12"/>
    <n v="3"/>
    <x v="3"/>
    <n v="1"/>
    <n v="1267"/>
    <n v="2"/>
    <x v="1"/>
    <x v="64"/>
    <n v="3"/>
    <n v="5"/>
    <x v="5"/>
    <n v="2"/>
    <x v="1"/>
    <x v="854"/>
    <n v="8751"/>
    <n v="7"/>
    <s v="Y"/>
    <x v="1"/>
    <n v="11"/>
    <n v="3"/>
    <n v="3"/>
    <n v="80"/>
    <n v="1"/>
    <n v="26"/>
    <n v="5"/>
    <n v="3"/>
    <n v="22"/>
    <n v="9"/>
    <x v="2"/>
    <x v="13"/>
  </r>
  <r>
    <x v="3"/>
    <x v="1"/>
    <x v="0"/>
    <n v="536"/>
    <x v="0"/>
    <x v="17"/>
    <n v="5"/>
    <x v="3"/>
    <n v="1"/>
    <n v="1268"/>
    <n v="4"/>
    <x v="1"/>
    <x v="19"/>
    <n v="4"/>
    <n v="3"/>
    <x v="0"/>
    <n v="3"/>
    <x v="2"/>
    <x v="855"/>
    <n v="21708"/>
    <n v="0"/>
    <s v="Y"/>
    <x v="0"/>
    <n v="14"/>
    <n v="3"/>
    <n v="4"/>
    <n v="80"/>
    <n v="2"/>
    <n v="10"/>
    <n v="3"/>
    <n v="3"/>
    <n v="9"/>
    <n v="8"/>
    <x v="0"/>
    <x v="5"/>
  </r>
  <r>
    <x v="37"/>
    <x v="1"/>
    <x v="0"/>
    <n v="265"/>
    <x v="1"/>
    <x v="19"/>
    <n v="3"/>
    <x v="0"/>
    <n v="1"/>
    <n v="1269"/>
    <n v="2"/>
    <x v="0"/>
    <x v="42"/>
    <n v="4"/>
    <n v="1"/>
    <x v="1"/>
    <n v="4"/>
    <x v="0"/>
    <x v="856"/>
    <n v="21221"/>
    <n v="1"/>
    <s v="Y"/>
    <x v="0"/>
    <n v="12"/>
    <n v="3"/>
    <n v="4"/>
    <n v="80"/>
    <n v="0"/>
    <n v="1"/>
    <n v="2"/>
    <n v="3"/>
    <n v="1"/>
    <n v="0"/>
    <x v="0"/>
    <x v="9"/>
  </r>
  <r>
    <x v="30"/>
    <x v="1"/>
    <x v="0"/>
    <n v="373"/>
    <x v="1"/>
    <x v="0"/>
    <n v="2"/>
    <x v="0"/>
    <n v="1"/>
    <n v="1270"/>
    <n v="4"/>
    <x v="1"/>
    <x v="35"/>
    <n v="3"/>
    <n v="1"/>
    <x v="1"/>
    <n v="3"/>
    <x v="1"/>
    <x v="857"/>
    <n v="16901"/>
    <n v="1"/>
    <s v="Y"/>
    <x v="1"/>
    <n v="22"/>
    <n v="4"/>
    <n v="4"/>
    <n v="80"/>
    <n v="1"/>
    <n v="1"/>
    <n v="2"/>
    <n v="3"/>
    <n v="1"/>
    <n v="0"/>
    <x v="0"/>
    <x v="9"/>
  </r>
  <r>
    <x v="36"/>
    <x v="0"/>
    <x v="1"/>
    <n v="599"/>
    <x v="0"/>
    <x v="4"/>
    <n v="1"/>
    <x v="0"/>
    <n v="1"/>
    <n v="1273"/>
    <n v="3"/>
    <x v="1"/>
    <x v="32"/>
    <n v="1"/>
    <n v="1"/>
    <x v="6"/>
    <n v="4"/>
    <x v="0"/>
    <x v="858"/>
    <n v="8040"/>
    <n v="1"/>
    <s v="Y"/>
    <x v="0"/>
    <n v="14"/>
    <n v="3"/>
    <n v="4"/>
    <n v="80"/>
    <n v="0"/>
    <n v="1"/>
    <n v="4"/>
    <n v="3"/>
    <n v="1"/>
    <n v="0"/>
    <x v="1"/>
    <x v="2"/>
  </r>
  <r>
    <x v="25"/>
    <x v="1"/>
    <x v="0"/>
    <n v="583"/>
    <x v="1"/>
    <x v="18"/>
    <n v="2"/>
    <x v="0"/>
    <n v="1"/>
    <n v="1275"/>
    <n v="3"/>
    <x v="1"/>
    <x v="20"/>
    <n v="3"/>
    <n v="1"/>
    <x v="1"/>
    <n v="4"/>
    <x v="0"/>
    <x v="859"/>
    <n v="9973"/>
    <n v="1"/>
    <s v="Y"/>
    <x v="0"/>
    <n v="20"/>
    <n v="4"/>
    <n v="2"/>
    <n v="80"/>
    <n v="0"/>
    <n v="8"/>
    <n v="2"/>
    <n v="2"/>
    <n v="8"/>
    <n v="5"/>
    <x v="3"/>
    <x v="3"/>
  </r>
  <r>
    <x v="28"/>
    <x v="0"/>
    <x v="0"/>
    <n v="1449"/>
    <x v="0"/>
    <x v="2"/>
    <n v="3"/>
    <x v="3"/>
    <n v="1"/>
    <n v="1277"/>
    <n v="1"/>
    <x v="0"/>
    <x v="0"/>
    <n v="1"/>
    <n v="5"/>
    <x v="5"/>
    <n v="2"/>
    <x v="0"/>
    <x v="860"/>
    <n v="2493"/>
    <n v="2"/>
    <s v="Y"/>
    <x v="0"/>
    <n v="16"/>
    <n v="3"/>
    <n v="1"/>
    <n v="80"/>
    <n v="0"/>
    <n v="26"/>
    <n v="2"/>
    <n v="3"/>
    <n v="24"/>
    <n v="10"/>
    <x v="1"/>
    <x v="7"/>
  </r>
  <r>
    <x v="27"/>
    <x v="1"/>
    <x v="2"/>
    <n v="177"/>
    <x v="1"/>
    <x v="1"/>
    <n v="1"/>
    <x v="2"/>
    <n v="1"/>
    <n v="1278"/>
    <n v="4"/>
    <x v="1"/>
    <x v="31"/>
    <n v="2"/>
    <n v="4"/>
    <x v="4"/>
    <n v="2"/>
    <x v="2"/>
    <x v="861"/>
    <n v="25592"/>
    <n v="1"/>
    <s v="Y"/>
    <x v="0"/>
    <n v="15"/>
    <n v="3"/>
    <n v="4"/>
    <n v="80"/>
    <n v="1"/>
    <n v="34"/>
    <n v="3"/>
    <n v="3"/>
    <n v="33"/>
    <n v="9"/>
    <x v="9"/>
    <x v="2"/>
  </r>
  <r>
    <x v="18"/>
    <x v="0"/>
    <x v="1"/>
    <n v="251"/>
    <x v="1"/>
    <x v="17"/>
    <n v="2"/>
    <x v="0"/>
    <n v="1"/>
    <n v="1279"/>
    <n v="1"/>
    <x v="0"/>
    <x v="18"/>
    <n v="2"/>
    <n v="1"/>
    <x v="2"/>
    <n v="3"/>
    <x v="0"/>
    <x v="862"/>
    <n v="25308"/>
    <n v="1"/>
    <s v="Y"/>
    <x v="1"/>
    <n v="20"/>
    <n v="4"/>
    <n v="3"/>
    <n v="80"/>
    <n v="0"/>
    <n v="2"/>
    <n v="2"/>
    <n v="1"/>
    <n v="2"/>
    <n v="2"/>
    <x v="3"/>
    <x v="3"/>
  </r>
  <r>
    <x v="21"/>
    <x v="1"/>
    <x v="0"/>
    <n v="168"/>
    <x v="0"/>
    <x v="18"/>
    <n v="2"/>
    <x v="3"/>
    <n v="1"/>
    <n v="1280"/>
    <n v="4"/>
    <x v="0"/>
    <x v="30"/>
    <n v="2"/>
    <n v="5"/>
    <x v="5"/>
    <n v="2"/>
    <x v="1"/>
    <x v="863"/>
    <n v="9946"/>
    <n v="2"/>
    <s v="Y"/>
    <x v="1"/>
    <n v="14"/>
    <n v="3"/>
    <n v="3"/>
    <n v="80"/>
    <n v="1"/>
    <n v="26"/>
    <n v="2"/>
    <n v="3"/>
    <n v="11"/>
    <n v="4"/>
    <x v="0"/>
    <x v="5"/>
  </r>
  <r>
    <x v="13"/>
    <x v="1"/>
    <x v="0"/>
    <n v="131"/>
    <x v="0"/>
    <x v="2"/>
    <n v="3"/>
    <x v="3"/>
    <n v="1"/>
    <n v="1281"/>
    <n v="3"/>
    <x v="0"/>
    <x v="27"/>
    <n v="3"/>
    <n v="2"/>
    <x v="0"/>
    <n v="1"/>
    <x v="0"/>
    <x v="864"/>
    <n v="6039"/>
    <n v="0"/>
    <s v="Y"/>
    <x v="0"/>
    <n v="12"/>
    <n v="3"/>
    <n v="4"/>
    <n v="80"/>
    <n v="0"/>
    <n v="4"/>
    <n v="3"/>
    <n v="3"/>
    <n v="3"/>
    <n v="2"/>
    <x v="0"/>
    <x v="3"/>
  </r>
  <r>
    <x v="31"/>
    <x v="1"/>
    <x v="1"/>
    <n v="237"/>
    <x v="0"/>
    <x v="14"/>
    <n v="3"/>
    <x v="0"/>
    <n v="1"/>
    <n v="1282"/>
    <n v="4"/>
    <x v="1"/>
    <x v="21"/>
    <n v="3"/>
    <n v="5"/>
    <x v="5"/>
    <n v="2"/>
    <x v="2"/>
    <x v="865"/>
    <n v="19196"/>
    <n v="4"/>
    <s v="Y"/>
    <x v="0"/>
    <n v="24"/>
    <n v="4"/>
    <n v="1"/>
    <n v="80"/>
    <n v="1"/>
    <n v="31"/>
    <n v="5"/>
    <n v="2"/>
    <n v="29"/>
    <n v="10"/>
    <x v="14"/>
    <x v="13"/>
  </r>
  <r>
    <x v="6"/>
    <x v="1"/>
    <x v="0"/>
    <n v="1429"/>
    <x v="1"/>
    <x v="21"/>
    <n v="4"/>
    <x v="2"/>
    <n v="1"/>
    <n v="1283"/>
    <n v="4"/>
    <x v="1"/>
    <x v="7"/>
    <n v="3"/>
    <n v="3"/>
    <x v="3"/>
    <n v="4"/>
    <x v="0"/>
    <x v="866"/>
    <n v="20002"/>
    <n v="6"/>
    <s v="Y"/>
    <x v="1"/>
    <n v="12"/>
    <n v="3"/>
    <n v="4"/>
    <n v="80"/>
    <n v="0"/>
    <n v="25"/>
    <n v="6"/>
    <n v="2"/>
    <n v="9"/>
    <n v="7"/>
    <x v="8"/>
    <x v="10"/>
  </r>
  <r>
    <x v="13"/>
    <x v="1"/>
    <x v="1"/>
    <n v="135"/>
    <x v="1"/>
    <x v="10"/>
    <n v="3"/>
    <x v="2"/>
    <n v="1"/>
    <n v="1285"/>
    <n v="3"/>
    <x v="0"/>
    <x v="55"/>
    <n v="3"/>
    <n v="2"/>
    <x v="2"/>
    <n v="2"/>
    <x v="2"/>
    <x v="867"/>
    <n v="22534"/>
    <n v="4"/>
    <s v="Y"/>
    <x v="1"/>
    <n v="13"/>
    <n v="3"/>
    <n v="3"/>
    <n v="80"/>
    <n v="2"/>
    <n v="15"/>
    <n v="2"/>
    <n v="4"/>
    <n v="11"/>
    <n v="8"/>
    <x v="8"/>
    <x v="13"/>
  </r>
  <r>
    <x v="14"/>
    <x v="1"/>
    <x v="1"/>
    <n v="791"/>
    <x v="1"/>
    <x v="0"/>
    <n v="4"/>
    <x v="2"/>
    <n v="1"/>
    <n v="1286"/>
    <n v="4"/>
    <x v="1"/>
    <x v="8"/>
    <n v="3"/>
    <n v="1"/>
    <x v="2"/>
    <n v="3"/>
    <x v="0"/>
    <x v="868"/>
    <n v="6842"/>
    <n v="0"/>
    <s v="Y"/>
    <x v="0"/>
    <n v="11"/>
    <n v="3"/>
    <n v="3"/>
    <n v="80"/>
    <n v="0"/>
    <n v="5"/>
    <n v="2"/>
    <n v="2"/>
    <n v="4"/>
    <n v="2"/>
    <x v="0"/>
    <x v="3"/>
  </r>
  <r>
    <x v="20"/>
    <x v="1"/>
    <x v="0"/>
    <n v="1199"/>
    <x v="1"/>
    <x v="18"/>
    <n v="2"/>
    <x v="0"/>
    <n v="1"/>
    <n v="1288"/>
    <n v="3"/>
    <x v="1"/>
    <x v="2"/>
    <n v="4"/>
    <n v="5"/>
    <x v="5"/>
    <n v="1"/>
    <x v="2"/>
    <x v="869"/>
    <n v="17477"/>
    <n v="1"/>
    <s v="Y"/>
    <x v="1"/>
    <n v="14"/>
    <n v="3"/>
    <n v="4"/>
    <n v="80"/>
    <n v="2"/>
    <n v="26"/>
    <n v="4"/>
    <n v="2"/>
    <n v="25"/>
    <n v="9"/>
    <x v="15"/>
    <x v="15"/>
  </r>
  <r>
    <x v="13"/>
    <x v="1"/>
    <x v="1"/>
    <n v="648"/>
    <x v="2"/>
    <x v="13"/>
    <n v="3"/>
    <x v="0"/>
    <n v="1"/>
    <n v="1289"/>
    <n v="3"/>
    <x v="1"/>
    <x v="3"/>
    <n v="2"/>
    <n v="2"/>
    <x v="8"/>
    <n v="2"/>
    <x v="1"/>
    <x v="870"/>
    <n v="21833"/>
    <n v="4"/>
    <s v="Y"/>
    <x v="1"/>
    <n v="11"/>
    <n v="3"/>
    <n v="4"/>
    <n v="80"/>
    <n v="2"/>
    <n v="14"/>
    <n v="5"/>
    <n v="4"/>
    <n v="10"/>
    <n v="9"/>
    <x v="1"/>
    <x v="5"/>
  </r>
  <r>
    <x v="10"/>
    <x v="1"/>
    <x v="0"/>
    <n v="735"/>
    <x v="1"/>
    <x v="16"/>
    <n v="1"/>
    <x v="0"/>
    <n v="1"/>
    <n v="1291"/>
    <n v="3"/>
    <x v="1"/>
    <x v="45"/>
    <n v="3"/>
    <n v="1"/>
    <x v="1"/>
    <n v="3"/>
    <x v="1"/>
    <x v="871"/>
    <n v="6020"/>
    <n v="0"/>
    <s v="Y"/>
    <x v="0"/>
    <n v="14"/>
    <n v="3"/>
    <n v="4"/>
    <n v="80"/>
    <n v="0"/>
    <n v="4"/>
    <n v="3"/>
    <n v="3"/>
    <n v="3"/>
    <n v="2"/>
    <x v="3"/>
    <x v="3"/>
  </r>
  <r>
    <x v="19"/>
    <x v="1"/>
    <x v="0"/>
    <n v="603"/>
    <x v="1"/>
    <x v="15"/>
    <n v="4"/>
    <x v="2"/>
    <n v="1"/>
    <n v="1292"/>
    <n v="2"/>
    <x v="0"/>
    <x v="17"/>
    <n v="4"/>
    <n v="2"/>
    <x v="1"/>
    <n v="2"/>
    <x v="1"/>
    <x v="872"/>
    <n v="5628"/>
    <n v="6"/>
    <s v="Y"/>
    <x v="0"/>
    <n v="16"/>
    <n v="3"/>
    <n v="4"/>
    <n v="80"/>
    <n v="0"/>
    <n v="18"/>
    <n v="2"/>
    <n v="3"/>
    <n v="1"/>
    <n v="0"/>
    <x v="0"/>
    <x v="2"/>
  </r>
  <r>
    <x v="23"/>
    <x v="1"/>
    <x v="0"/>
    <n v="531"/>
    <x v="0"/>
    <x v="18"/>
    <n v="4"/>
    <x v="3"/>
    <n v="1"/>
    <n v="1293"/>
    <n v="4"/>
    <x v="0"/>
    <x v="3"/>
    <n v="2"/>
    <n v="3"/>
    <x v="0"/>
    <n v="4"/>
    <x v="0"/>
    <x v="873"/>
    <n v="20364"/>
    <n v="3"/>
    <s v="Y"/>
    <x v="1"/>
    <n v="14"/>
    <n v="3"/>
    <n v="4"/>
    <n v="80"/>
    <n v="0"/>
    <n v="23"/>
    <n v="3"/>
    <n v="4"/>
    <n v="21"/>
    <n v="7"/>
    <x v="9"/>
    <x v="8"/>
  </r>
  <r>
    <x v="9"/>
    <x v="1"/>
    <x v="0"/>
    <n v="429"/>
    <x v="1"/>
    <x v="2"/>
    <n v="4"/>
    <x v="0"/>
    <n v="1"/>
    <n v="1294"/>
    <n v="3"/>
    <x v="0"/>
    <x v="20"/>
    <n v="3"/>
    <n v="2"/>
    <x v="3"/>
    <n v="2"/>
    <x v="0"/>
    <x v="874"/>
    <n v="2323"/>
    <n v="9"/>
    <s v="Y"/>
    <x v="0"/>
    <n v="11"/>
    <n v="3"/>
    <n v="4"/>
    <n v="80"/>
    <n v="0"/>
    <n v="18"/>
    <n v="2"/>
    <n v="3"/>
    <n v="16"/>
    <n v="14"/>
    <x v="8"/>
    <x v="11"/>
  </r>
  <r>
    <x v="20"/>
    <x v="0"/>
    <x v="0"/>
    <n v="621"/>
    <x v="1"/>
    <x v="8"/>
    <n v="3"/>
    <x v="2"/>
    <n v="1"/>
    <n v="1295"/>
    <n v="1"/>
    <x v="0"/>
    <x v="32"/>
    <n v="3"/>
    <n v="3"/>
    <x v="4"/>
    <n v="4"/>
    <x v="1"/>
    <x v="875"/>
    <n v="14075"/>
    <n v="1"/>
    <s v="Y"/>
    <x v="1"/>
    <n v="11"/>
    <n v="3"/>
    <n v="4"/>
    <n v="80"/>
    <n v="1"/>
    <n v="10"/>
    <n v="2"/>
    <n v="3"/>
    <n v="10"/>
    <n v="7"/>
    <x v="0"/>
    <x v="0"/>
  </r>
  <r>
    <x v="14"/>
    <x v="1"/>
    <x v="1"/>
    <n v="193"/>
    <x v="1"/>
    <x v="2"/>
    <n v="3"/>
    <x v="0"/>
    <n v="1"/>
    <n v="1296"/>
    <n v="4"/>
    <x v="1"/>
    <x v="48"/>
    <n v="2"/>
    <n v="1"/>
    <x v="2"/>
    <n v="4"/>
    <x v="1"/>
    <x v="876"/>
    <n v="14222"/>
    <n v="1"/>
    <s v="Y"/>
    <x v="0"/>
    <n v="12"/>
    <n v="3"/>
    <n v="2"/>
    <n v="80"/>
    <n v="1"/>
    <n v="2"/>
    <n v="2"/>
    <n v="3"/>
    <n v="2"/>
    <n v="2"/>
    <x v="3"/>
    <x v="3"/>
  </r>
  <r>
    <x v="31"/>
    <x v="1"/>
    <x v="1"/>
    <n v="968"/>
    <x v="1"/>
    <x v="16"/>
    <n v="2"/>
    <x v="2"/>
    <n v="1"/>
    <n v="1297"/>
    <n v="2"/>
    <x v="0"/>
    <x v="4"/>
    <n v="2"/>
    <n v="1"/>
    <x v="2"/>
    <n v="3"/>
    <x v="0"/>
    <x v="877"/>
    <n v="4257"/>
    <n v="0"/>
    <s v="Y"/>
    <x v="1"/>
    <n v="14"/>
    <n v="3"/>
    <n v="2"/>
    <n v="80"/>
    <n v="0"/>
    <n v="8"/>
    <n v="6"/>
    <n v="2"/>
    <n v="7"/>
    <n v="0"/>
    <x v="4"/>
    <x v="1"/>
  </r>
  <r>
    <x v="7"/>
    <x v="1"/>
    <x v="2"/>
    <n v="879"/>
    <x v="1"/>
    <x v="14"/>
    <n v="2"/>
    <x v="2"/>
    <n v="1"/>
    <n v="1298"/>
    <n v="3"/>
    <x v="0"/>
    <x v="23"/>
    <n v="3"/>
    <n v="2"/>
    <x v="3"/>
    <n v="3"/>
    <x v="0"/>
    <x v="878"/>
    <n v="12858"/>
    <n v="7"/>
    <s v="Y"/>
    <x v="0"/>
    <n v="18"/>
    <n v="3"/>
    <n v="3"/>
    <n v="80"/>
    <n v="0"/>
    <n v="10"/>
    <n v="3"/>
    <n v="3"/>
    <n v="8"/>
    <n v="4"/>
    <x v="1"/>
    <x v="1"/>
  </r>
  <r>
    <x v="11"/>
    <x v="0"/>
    <x v="0"/>
    <n v="806"/>
    <x v="1"/>
    <x v="15"/>
    <n v="3"/>
    <x v="4"/>
    <n v="1"/>
    <n v="1299"/>
    <n v="2"/>
    <x v="0"/>
    <x v="56"/>
    <n v="3"/>
    <n v="1"/>
    <x v="2"/>
    <n v="3"/>
    <x v="2"/>
    <x v="879"/>
    <n v="17285"/>
    <n v="3"/>
    <s v="Y"/>
    <x v="0"/>
    <n v="13"/>
    <n v="3"/>
    <n v="1"/>
    <n v="80"/>
    <n v="2"/>
    <n v="10"/>
    <n v="2"/>
    <n v="3"/>
    <n v="7"/>
    <n v="7"/>
    <x v="4"/>
    <x v="1"/>
  </r>
  <r>
    <x v="14"/>
    <x v="1"/>
    <x v="0"/>
    <n v="640"/>
    <x v="1"/>
    <x v="0"/>
    <n v="3"/>
    <x v="4"/>
    <n v="1"/>
    <n v="1301"/>
    <n v="4"/>
    <x v="1"/>
    <x v="9"/>
    <n v="3"/>
    <n v="1"/>
    <x v="1"/>
    <n v="1"/>
    <x v="0"/>
    <x v="880"/>
    <n v="4732"/>
    <n v="2"/>
    <s v="Y"/>
    <x v="1"/>
    <n v="11"/>
    <n v="3"/>
    <n v="2"/>
    <n v="80"/>
    <n v="0"/>
    <n v="5"/>
    <n v="2"/>
    <n v="2"/>
    <n v="3"/>
    <n v="2"/>
    <x v="1"/>
    <x v="3"/>
  </r>
  <r>
    <x v="36"/>
    <x v="1"/>
    <x v="0"/>
    <n v="266"/>
    <x v="1"/>
    <x v="0"/>
    <n v="3"/>
    <x v="2"/>
    <n v="1"/>
    <n v="1303"/>
    <n v="4"/>
    <x v="0"/>
    <x v="4"/>
    <n v="3"/>
    <n v="1"/>
    <x v="1"/>
    <n v="2"/>
    <x v="0"/>
    <x v="461"/>
    <n v="18830"/>
    <n v="1"/>
    <s v="Y"/>
    <x v="1"/>
    <n v="18"/>
    <n v="3"/>
    <n v="4"/>
    <n v="80"/>
    <n v="0"/>
    <n v="2"/>
    <n v="3"/>
    <n v="2"/>
    <n v="2"/>
    <n v="2"/>
    <x v="3"/>
    <x v="9"/>
  </r>
  <r>
    <x v="5"/>
    <x v="1"/>
    <x v="0"/>
    <n v="604"/>
    <x v="0"/>
    <x v="1"/>
    <n v="3"/>
    <x v="2"/>
    <n v="1"/>
    <n v="1304"/>
    <n v="3"/>
    <x v="1"/>
    <x v="3"/>
    <n v="4"/>
    <n v="2"/>
    <x v="0"/>
    <n v="4"/>
    <x v="1"/>
    <x v="881"/>
    <n v="11693"/>
    <n v="1"/>
    <s v="Y"/>
    <x v="1"/>
    <n v="15"/>
    <n v="3"/>
    <n v="3"/>
    <n v="80"/>
    <n v="2"/>
    <n v="10"/>
    <n v="4"/>
    <n v="4"/>
    <n v="10"/>
    <n v="7"/>
    <x v="0"/>
    <x v="5"/>
  </r>
  <r>
    <x v="28"/>
    <x v="1"/>
    <x v="1"/>
    <n v="364"/>
    <x v="1"/>
    <x v="19"/>
    <n v="3"/>
    <x v="2"/>
    <n v="1"/>
    <n v="1306"/>
    <n v="2"/>
    <x v="0"/>
    <x v="21"/>
    <n v="3"/>
    <n v="5"/>
    <x v="5"/>
    <n v="2"/>
    <x v="0"/>
    <x v="882"/>
    <n v="13035"/>
    <n v="3"/>
    <s v="Y"/>
    <x v="1"/>
    <n v="22"/>
    <n v="4"/>
    <n v="3"/>
    <n v="80"/>
    <n v="0"/>
    <n v="22"/>
    <n v="4"/>
    <n v="3"/>
    <n v="0"/>
    <n v="0"/>
    <x v="0"/>
    <x v="2"/>
  </r>
  <r>
    <x v="22"/>
    <x v="1"/>
    <x v="0"/>
    <n v="412"/>
    <x v="1"/>
    <x v="28"/>
    <n v="4"/>
    <x v="2"/>
    <n v="1"/>
    <n v="1307"/>
    <n v="3"/>
    <x v="0"/>
    <x v="0"/>
    <n v="2"/>
    <n v="4"/>
    <x v="5"/>
    <n v="2"/>
    <x v="2"/>
    <x v="883"/>
    <n v="17334"/>
    <n v="6"/>
    <s v="Y"/>
    <x v="0"/>
    <n v="13"/>
    <n v="3"/>
    <n v="4"/>
    <n v="80"/>
    <n v="2"/>
    <n v="21"/>
    <n v="4"/>
    <n v="3"/>
    <n v="19"/>
    <n v="9"/>
    <x v="9"/>
    <x v="3"/>
  </r>
  <r>
    <x v="34"/>
    <x v="1"/>
    <x v="0"/>
    <n v="848"/>
    <x v="1"/>
    <x v="5"/>
    <n v="4"/>
    <x v="0"/>
    <n v="1"/>
    <n v="1308"/>
    <n v="1"/>
    <x v="1"/>
    <x v="64"/>
    <n v="3"/>
    <n v="1"/>
    <x v="1"/>
    <n v="3"/>
    <x v="2"/>
    <x v="872"/>
    <n v="26076"/>
    <n v="1"/>
    <s v="Y"/>
    <x v="1"/>
    <n v="12"/>
    <n v="3"/>
    <n v="4"/>
    <n v="80"/>
    <n v="2"/>
    <n v="2"/>
    <n v="3"/>
    <n v="3"/>
    <n v="2"/>
    <n v="2"/>
    <x v="3"/>
    <x v="3"/>
  </r>
  <r>
    <x v="5"/>
    <x v="0"/>
    <x v="0"/>
    <n v="1089"/>
    <x v="1"/>
    <x v="15"/>
    <n v="2"/>
    <x v="0"/>
    <n v="1"/>
    <n v="1309"/>
    <n v="4"/>
    <x v="1"/>
    <x v="5"/>
    <n v="3"/>
    <n v="2"/>
    <x v="2"/>
    <n v="3"/>
    <x v="1"/>
    <x v="884"/>
    <n v="22845"/>
    <n v="1"/>
    <s v="Y"/>
    <x v="1"/>
    <n v="18"/>
    <n v="3"/>
    <n v="1"/>
    <n v="80"/>
    <n v="1"/>
    <n v="10"/>
    <n v="3"/>
    <n v="3"/>
    <n v="10"/>
    <n v="4"/>
    <x v="1"/>
    <x v="9"/>
  </r>
  <r>
    <x v="22"/>
    <x v="0"/>
    <x v="0"/>
    <n v="360"/>
    <x v="1"/>
    <x v="5"/>
    <n v="3"/>
    <x v="2"/>
    <n v="1"/>
    <n v="1310"/>
    <n v="3"/>
    <x v="1"/>
    <x v="12"/>
    <n v="3"/>
    <n v="1"/>
    <x v="1"/>
    <n v="1"/>
    <x v="0"/>
    <x v="885"/>
    <n v="22154"/>
    <n v="0"/>
    <s v="Y"/>
    <x v="1"/>
    <n v="13"/>
    <n v="3"/>
    <n v="1"/>
    <n v="80"/>
    <n v="0"/>
    <n v="6"/>
    <n v="2"/>
    <n v="3"/>
    <n v="5"/>
    <n v="2"/>
    <x v="0"/>
    <x v="6"/>
  </r>
  <r>
    <x v="7"/>
    <x v="1"/>
    <x v="0"/>
    <n v="1138"/>
    <x v="1"/>
    <x v="16"/>
    <n v="3"/>
    <x v="4"/>
    <n v="1"/>
    <n v="1311"/>
    <n v="1"/>
    <x v="0"/>
    <x v="24"/>
    <n v="2"/>
    <n v="2"/>
    <x v="2"/>
    <n v="4"/>
    <x v="1"/>
    <x v="886"/>
    <n v="23631"/>
    <n v="0"/>
    <s v="Y"/>
    <x v="1"/>
    <n v="12"/>
    <n v="3"/>
    <n v="1"/>
    <n v="80"/>
    <n v="1"/>
    <n v="10"/>
    <n v="6"/>
    <n v="3"/>
    <n v="9"/>
    <n v="2"/>
    <x v="7"/>
    <x v="1"/>
  </r>
  <r>
    <x v="9"/>
    <x v="1"/>
    <x v="0"/>
    <n v="325"/>
    <x v="1"/>
    <x v="17"/>
    <n v="4"/>
    <x v="4"/>
    <n v="1"/>
    <n v="1312"/>
    <n v="4"/>
    <x v="0"/>
    <x v="52"/>
    <n v="3"/>
    <n v="3"/>
    <x v="4"/>
    <n v="3"/>
    <x v="1"/>
    <x v="887"/>
    <n v="5747"/>
    <n v="3"/>
    <s v="Y"/>
    <x v="1"/>
    <n v="12"/>
    <n v="3"/>
    <n v="1"/>
    <n v="80"/>
    <n v="0"/>
    <n v="10"/>
    <n v="0"/>
    <n v="3"/>
    <n v="7"/>
    <n v="7"/>
    <x v="1"/>
    <x v="1"/>
  </r>
  <r>
    <x v="21"/>
    <x v="1"/>
    <x v="0"/>
    <n v="991"/>
    <x v="2"/>
    <x v="0"/>
    <n v="2"/>
    <x v="0"/>
    <n v="1"/>
    <n v="1314"/>
    <n v="4"/>
    <x v="0"/>
    <x v="8"/>
    <n v="3"/>
    <n v="1"/>
    <x v="8"/>
    <n v="1"/>
    <x v="0"/>
    <x v="888"/>
    <n v="22957"/>
    <n v="6"/>
    <s v="Y"/>
    <x v="1"/>
    <n v="12"/>
    <n v="3"/>
    <n v="3"/>
    <n v="80"/>
    <n v="0"/>
    <n v="10"/>
    <n v="3"/>
    <n v="4"/>
    <n v="7"/>
    <n v="6"/>
    <x v="8"/>
    <x v="1"/>
  </r>
  <r>
    <x v="14"/>
    <x v="1"/>
    <x v="2"/>
    <n v="1476"/>
    <x v="1"/>
    <x v="0"/>
    <n v="3"/>
    <x v="0"/>
    <n v="1"/>
    <n v="1315"/>
    <n v="3"/>
    <x v="0"/>
    <x v="46"/>
    <n v="1"/>
    <n v="2"/>
    <x v="2"/>
    <n v="4"/>
    <x v="1"/>
    <x v="889"/>
    <n v="16392"/>
    <n v="0"/>
    <s v="Y"/>
    <x v="1"/>
    <n v="11"/>
    <n v="3"/>
    <n v="1"/>
    <n v="80"/>
    <n v="3"/>
    <n v="10"/>
    <n v="6"/>
    <n v="3"/>
    <n v="9"/>
    <n v="8"/>
    <x v="4"/>
    <x v="0"/>
  </r>
  <r>
    <x v="24"/>
    <x v="1"/>
    <x v="0"/>
    <n v="1322"/>
    <x v="1"/>
    <x v="26"/>
    <n v="3"/>
    <x v="0"/>
    <n v="1"/>
    <n v="1317"/>
    <n v="4"/>
    <x v="0"/>
    <x v="38"/>
    <n v="3"/>
    <n v="4"/>
    <x v="7"/>
    <n v="1"/>
    <x v="1"/>
    <x v="890"/>
    <n v="22422"/>
    <n v="4"/>
    <s v="Y"/>
    <x v="0"/>
    <n v="11"/>
    <n v="3"/>
    <n v="2"/>
    <n v="80"/>
    <n v="0"/>
    <n v="25"/>
    <n v="2"/>
    <n v="3"/>
    <n v="3"/>
    <n v="2"/>
    <x v="1"/>
    <x v="3"/>
  </r>
  <r>
    <x v="32"/>
    <x v="0"/>
    <x v="0"/>
    <n v="299"/>
    <x v="0"/>
    <x v="19"/>
    <n v="4"/>
    <x v="3"/>
    <n v="1"/>
    <n v="1318"/>
    <n v="4"/>
    <x v="1"/>
    <x v="42"/>
    <n v="2"/>
    <n v="3"/>
    <x v="0"/>
    <n v="2"/>
    <x v="0"/>
    <x v="891"/>
    <n v="17235"/>
    <n v="2"/>
    <s v="Y"/>
    <x v="0"/>
    <n v="12"/>
    <n v="3"/>
    <n v="3"/>
    <n v="80"/>
    <n v="0"/>
    <n v="9"/>
    <n v="2"/>
    <n v="3"/>
    <n v="5"/>
    <n v="4"/>
    <x v="1"/>
    <x v="2"/>
  </r>
  <r>
    <x v="39"/>
    <x v="0"/>
    <x v="0"/>
    <n v="1030"/>
    <x v="0"/>
    <x v="12"/>
    <n v="3"/>
    <x v="0"/>
    <n v="1"/>
    <n v="1319"/>
    <n v="2"/>
    <x v="1"/>
    <x v="51"/>
    <n v="3"/>
    <n v="3"/>
    <x v="0"/>
    <n v="2"/>
    <x v="0"/>
    <x v="892"/>
    <n v="21534"/>
    <n v="9"/>
    <s v="Y"/>
    <x v="0"/>
    <n v="19"/>
    <n v="3"/>
    <n v="3"/>
    <n v="80"/>
    <n v="0"/>
    <n v="10"/>
    <n v="2"/>
    <n v="2"/>
    <n v="8"/>
    <n v="7"/>
    <x v="4"/>
    <x v="1"/>
  </r>
  <r>
    <x v="7"/>
    <x v="1"/>
    <x v="0"/>
    <n v="634"/>
    <x v="1"/>
    <x v="27"/>
    <n v="4"/>
    <x v="2"/>
    <n v="1"/>
    <n v="1321"/>
    <n v="2"/>
    <x v="0"/>
    <x v="41"/>
    <n v="3"/>
    <n v="3"/>
    <x v="5"/>
    <n v="1"/>
    <x v="1"/>
    <x v="893"/>
    <n v="25927"/>
    <n v="1"/>
    <s v="Y"/>
    <x v="0"/>
    <n v="23"/>
    <n v="4"/>
    <n v="4"/>
    <n v="80"/>
    <n v="2"/>
    <n v="9"/>
    <n v="2"/>
    <n v="3"/>
    <n v="9"/>
    <n v="1"/>
    <x v="0"/>
    <x v="5"/>
  </r>
  <r>
    <x v="22"/>
    <x v="1"/>
    <x v="0"/>
    <n v="524"/>
    <x v="1"/>
    <x v="21"/>
    <n v="2"/>
    <x v="0"/>
    <n v="1"/>
    <n v="1322"/>
    <n v="1"/>
    <x v="1"/>
    <x v="47"/>
    <n v="3"/>
    <n v="2"/>
    <x v="3"/>
    <n v="3"/>
    <x v="0"/>
    <x v="894"/>
    <n v="13352"/>
    <n v="0"/>
    <s v="Y"/>
    <x v="1"/>
    <n v="11"/>
    <n v="3"/>
    <n v="1"/>
    <n v="80"/>
    <n v="0"/>
    <n v="9"/>
    <n v="6"/>
    <n v="3"/>
    <n v="8"/>
    <n v="7"/>
    <x v="1"/>
    <x v="1"/>
  </r>
  <r>
    <x v="12"/>
    <x v="1"/>
    <x v="2"/>
    <n v="587"/>
    <x v="0"/>
    <x v="2"/>
    <n v="4"/>
    <x v="0"/>
    <n v="1"/>
    <n v="1324"/>
    <n v="4"/>
    <x v="0"/>
    <x v="42"/>
    <n v="3"/>
    <n v="3"/>
    <x v="0"/>
    <n v="3"/>
    <x v="2"/>
    <x v="895"/>
    <n v="8935"/>
    <n v="1"/>
    <s v="Y"/>
    <x v="0"/>
    <n v="19"/>
    <n v="3"/>
    <n v="1"/>
    <n v="80"/>
    <n v="1"/>
    <n v="10"/>
    <n v="5"/>
    <n v="2"/>
    <n v="10"/>
    <n v="8"/>
    <x v="10"/>
    <x v="4"/>
  </r>
  <r>
    <x v="0"/>
    <x v="1"/>
    <x v="2"/>
    <n v="256"/>
    <x v="0"/>
    <x v="17"/>
    <n v="2"/>
    <x v="2"/>
    <n v="1"/>
    <n v="1329"/>
    <n v="3"/>
    <x v="1"/>
    <x v="4"/>
    <n v="1"/>
    <n v="2"/>
    <x v="0"/>
    <n v="2"/>
    <x v="0"/>
    <x v="896"/>
    <n v="22074"/>
    <n v="1"/>
    <s v="Y"/>
    <x v="1"/>
    <n v="13"/>
    <n v="3"/>
    <n v="1"/>
    <n v="80"/>
    <n v="0"/>
    <n v="19"/>
    <n v="4"/>
    <n v="3"/>
    <n v="19"/>
    <n v="2"/>
    <x v="14"/>
    <x v="12"/>
  </r>
  <r>
    <x v="12"/>
    <x v="0"/>
    <x v="1"/>
    <n v="1060"/>
    <x v="0"/>
    <x v="0"/>
    <n v="3"/>
    <x v="0"/>
    <n v="1"/>
    <n v="1331"/>
    <n v="4"/>
    <x v="0"/>
    <x v="60"/>
    <n v="3"/>
    <n v="1"/>
    <x v="6"/>
    <n v="2"/>
    <x v="0"/>
    <x v="897"/>
    <n v="8319"/>
    <n v="1"/>
    <s v="Y"/>
    <x v="0"/>
    <n v="11"/>
    <n v="3"/>
    <n v="1"/>
    <n v="80"/>
    <n v="0"/>
    <n v="3"/>
    <n v="2"/>
    <n v="4"/>
    <n v="3"/>
    <n v="2"/>
    <x v="3"/>
    <x v="3"/>
  </r>
  <r>
    <x v="20"/>
    <x v="0"/>
    <x v="0"/>
    <n v="935"/>
    <x v="1"/>
    <x v="3"/>
    <n v="3"/>
    <x v="0"/>
    <n v="1"/>
    <n v="1333"/>
    <n v="1"/>
    <x v="1"/>
    <x v="66"/>
    <n v="3"/>
    <n v="1"/>
    <x v="2"/>
    <n v="1"/>
    <x v="1"/>
    <x v="898"/>
    <n v="14669"/>
    <n v="4"/>
    <s v="Y"/>
    <x v="1"/>
    <n v="12"/>
    <n v="3"/>
    <n v="3"/>
    <n v="80"/>
    <n v="0"/>
    <n v="10"/>
    <n v="4"/>
    <n v="4"/>
    <n v="3"/>
    <n v="2"/>
    <x v="1"/>
    <x v="3"/>
  </r>
  <r>
    <x v="19"/>
    <x v="1"/>
    <x v="2"/>
    <n v="495"/>
    <x v="1"/>
    <x v="2"/>
    <n v="1"/>
    <x v="0"/>
    <n v="1"/>
    <n v="1334"/>
    <n v="3"/>
    <x v="1"/>
    <x v="31"/>
    <n v="3"/>
    <n v="4"/>
    <x v="5"/>
    <n v="3"/>
    <x v="1"/>
    <x v="417"/>
    <n v="26582"/>
    <n v="0"/>
    <s v="Y"/>
    <x v="0"/>
    <n v="13"/>
    <n v="3"/>
    <n v="4"/>
    <n v="80"/>
    <n v="0"/>
    <n v="21"/>
    <n v="3"/>
    <n v="2"/>
    <n v="20"/>
    <n v="8"/>
    <x v="3"/>
    <x v="13"/>
  </r>
  <r>
    <x v="27"/>
    <x v="1"/>
    <x v="0"/>
    <n v="282"/>
    <x v="1"/>
    <x v="2"/>
    <n v="2"/>
    <x v="2"/>
    <n v="1"/>
    <n v="1336"/>
    <n v="4"/>
    <x v="0"/>
    <x v="22"/>
    <n v="1"/>
    <n v="5"/>
    <x v="5"/>
    <n v="3"/>
    <x v="1"/>
    <x v="899"/>
    <n v="6992"/>
    <n v="4"/>
    <s v="Y"/>
    <x v="1"/>
    <n v="14"/>
    <n v="3"/>
    <n v="4"/>
    <n v="80"/>
    <n v="1"/>
    <n v="23"/>
    <n v="5"/>
    <n v="3"/>
    <n v="19"/>
    <n v="9"/>
    <x v="10"/>
    <x v="7"/>
  </r>
  <r>
    <x v="29"/>
    <x v="1"/>
    <x v="0"/>
    <n v="206"/>
    <x v="2"/>
    <x v="1"/>
    <n v="4"/>
    <x v="0"/>
    <n v="1"/>
    <n v="1338"/>
    <n v="4"/>
    <x v="1"/>
    <x v="39"/>
    <n v="3"/>
    <n v="5"/>
    <x v="5"/>
    <n v="2"/>
    <x v="0"/>
    <x v="900"/>
    <n v="4022"/>
    <n v="6"/>
    <s v="Y"/>
    <x v="1"/>
    <n v="14"/>
    <n v="3"/>
    <n v="1"/>
    <n v="80"/>
    <n v="0"/>
    <n v="36"/>
    <n v="4"/>
    <n v="3"/>
    <n v="7"/>
    <n v="3"/>
    <x v="4"/>
    <x v="1"/>
  </r>
  <r>
    <x v="32"/>
    <x v="1"/>
    <x v="2"/>
    <n v="458"/>
    <x v="1"/>
    <x v="7"/>
    <n v="2"/>
    <x v="0"/>
    <n v="1"/>
    <n v="1340"/>
    <n v="3"/>
    <x v="1"/>
    <x v="69"/>
    <n v="3"/>
    <n v="1"/>
    <x v="1"/>
    <n v="3"/>
    <x v="2"/>
    <x v="901"/>
    <n v="8532"/>
    <n v="9"/>
    <s v="Y"/>
    <x v="1"/>
    <n v="16"/>
    <n v="3"/>
    <n v="2"/>
    <n v="80"/>
    <n v="1"/>
    <n v="6"/>
    <n v="0"/>
    <n v="3"/>
    <n v="4"/>
    <n v="2"/>
    <x v="0"/>
    <x v="2"/>
  </r>
  <r>
    <x v="13"/>
    <x v="1"/>
    <x v="0"/>
    <n v="943"/>
    <x v="1"/>
    <x v="14"/>
    <n v="3"/>
    <x v="0"/>
    <n v="1"/>
    <n v="1344"/>
    <n v="4"/>
    <x v="1"/>
    <x v="27"/>
    <n v="3"/>
    <n v="3"/>
    <x v="4"/>
    <n v="4"/>
    <x v="2"/>
    <x v="902"/>
    <n v="5494"/>
    <n v="0"/>
    <s v="Y"/>
    <x v="1"/>
    <n v="11"/>
    <n v="3"/>
    <n v="4"/>
    <n v="80"/>
    <n v="1"/>
    <n v="10"/>
    <n v="0"/>
    <n v="2"/>
    <n v="9"/>
    <n v="7"/>
    <x v="1"/>
    <x v="4"/>
  </r>
  <r>
    <x v="32"/>
    <x v="1"/>
    <x v="0"/>
    <n v="523"/>
    <x v="1"/>
    <x v="2"/>
    <n v="3"/>
    <x v="0"/>
    <n v="1"/>
    <n v="1346"/>
    <n v="3"/>
    <x v="1"/>
    <x v="33"/>
    <n v="3"/>
    <n v="2"/>
    <x v="1"/>
    <n v="4"/>
    <x v="0"/>
    <x v="903"/>
    <n v="22455"/>
    <n v="1"/>
    <s v="Y"/>
    <x v="1"/>
    <n v="13"/>
    <n v="3"/>
    <n v="3"/>
    <n v="80"/>
    <n v="0"/>
    <n v="9"/>
    <n v="4"/>
    <n v="3"/>
    <n v="9"/>
    <n v="8"/>
    <x v="6"/>
    <x v="5"/>
  </r>
  <r>
    <x v="0"/>
    <x v="1"/>
    <x v="1"/>
    <n v="1018"/>
    <x v="0"/>
    <x v="0"/>
    <n v="3"/>
    <x v="3"/>
    <n v="1"/>
    <n v="1349"/>
    <n v="3"/>
    <x v="0"/>
    <x v="45"/>
    <n v="3"/>
    <n v="2"/>
    <x v="0"/>
    <n v="1"/>
    <x v="2"/>
    <x v="904"/>
    <n v="4297"/>
    <n v="0"/>
    <s v="Y"/>
    <x v="1"/>
    <n v="17"/>
    <n v="3"/>
    <n v="4"/>
    <n v="80"/>
    <n v="1"/>
    <n v="10"/>
    <n v="2"/>
    <n v="3"/>
    <n v="9"/>
    <n v="3"/>
    <x v="1"/>
    <x v="1"/>
  </r>
  <r>
    <x v="10"/>
    <x v="1"/>
    <x v="1"/>
    <n v="482"/>
    <x v="1"/>
    <x v="18"/>
    <n v="4"/>
    <x v="0"/>
    <n v="1"/>
    <n v="1350"/>
    <n v="3"/>
    <x v="1"/>
    <x v="44"/>
    <n v="3"/>
    <n v="2"/>
    <x v="1"/>
    <n v="3"/>
    <x v="0"/>
    <x v="905"/>
    <n v="2690"/>
    <n v="1"/>
    <s v="Y"/>
    <x v="0"/>
    <n v="11"/>
    <n v="3"/>
    <n v="2"/>
    <n v="80"/>
    <n v="0"/>
    <n v="9"/>
    <n v="3"/>
    <n v="3"/>
    <n v="9"/>
    <n v="6"/>
    <x v="1"/>
    <x v="9"/>
  </r>
  <r>
    <x v="31"/>
    <x v="1"/>
    <x v="0"/>
    <n v="770"/>
    <x v="2"/>
    <x v="12"/>
    <n v="3"/>
    <x v="0"/>
    <n v="1"/>
    <n v="1352"/>
    <n v="3"/>
    <x v="1"/>
    <x v="9"/>
    <n v="3"/>
    <n v="4"/>
    <x v="5"/>
    <n v="2"/>
    <x v="2"/>
    <x v="906"/>
    <n v="17588"/>
    <n v="1"/>
    <s v="Y"/>
    <x v="0"/>
    <n v="11"/>
    <n v="3"/>
    <n v="2"/>
    <n v="80"/>
    <n v="1"/>
    <n v="33"/>
    <n v="2"/>
    <n v="3"/>
    <n v="33"/>
    <n v="9"/>
    <x v="0"/>
    <x v="13"/>
  </r>
  <r>
    <x v="8"/>
    <x v="1"/>
    <x v="0"/>
    <n v="1009"/>
    <x v="0"/>
    <x v="2"/>
    <n v="2"/>
    <x v="0"/>
    <n v="1"/>
    <n v="1355"/>
    <n v="2"/>
    <x v="0"/>
    <x v="11"/>
    <n v="3"/>
    <n v="2"/>
    <x v="0"/>
    <n v="1"/>
    <x v="2"/>
    <x v="907"/>
    <n v="19461"/>
    <n v="3"/>
    <s v="Y"/>
    <x v="1"/>
    <n v="15"/>
    <n v="3"/>
    <n v="4"/>
    <n v="80"/>
    <n v="1"/>
    <n v="11"/>
    <n v="3"/>
    <n v="3"/>
    <n v="7"/>
    <n v="7"/>
    <x v="1"/>
    <x v="1"/>
  </r>
  <r>
    <x v="13"/>
    <x v="1"/>
    <x v="0"/>
    <n v="507"/>
    <x v="0"/>
    <x v="8"/>
    <n v="2"/>
    <x v="2"/>
    <n v="1"/>
    <n v="1356"/>
    <n v="3"/>
    <x v="0"/>
    <x v="45"/>
    <n v="3"/>
    <n v="2"/>
    <x v="0"/>
    <n v="1"/>
    <x v="0"/>
    <x v="908"/>
    <n v="23553"/>
    <n v="1"/>
    <s v="Y"/>
    <x v="1"/>
    <n v="12"/>
    <n v="3"/>
    <n v="4"/>
    <n v="80"/>
    <n v="0"/>
    <n v="10"/>
    <n v="6"/>
    <n v="4"/>
    <n v="10"/>
    <n v="8"/>
    <x v="10"/>
    <x v="4"/>
  </r>
  <r>
    <x v="36"/>
    <x v="1"/>
    <x v="0"/>
    <n v="882"/>
    <x v="1"/>
    <x v="10"/>
    <n v="1"/>
    <x v="2"/>
    <n v="1"/>
    <n v="1358"/>
    <n v="4"/>
    <x v="1"/>
    <x v="7"/>
    <n v="3"/>
    <n v="1"/>
    <x v="2"/>
    <n v="4"/>
    <x v="1"/>
    <x v="909"/>
    <n v="9075"/>
    <n v="3"/>
    <s v="Y"/>
    <x v="1"/>
    <n v="11"/>
    <n v="3"/>
    <n v="3"/>
    <n v="80"/>
    <n v="3"/>
    <n v="7"/>
    <n v="6"/>
    <n v="2"/>
    <n v="3"/>
    <n v="2"/>
    <x v="1"/>
    <x v="3"/>
  </r>
  <r>
    <x v="34"/>
    <x v="0"/>
    <x v="0"/>
    <n v="601"/>
    <x v="1"/>
    <x v="15"/>
    <n v="4"/>
    <x v="2"/>
    <n v="1"/>
    <n v="1360"/>
    <n v="3"/>
    <x v="0"/>
    <x v="20"/>
    <n v="2"/>
    <n v="3"/>
    <x v="3"/>
    <n v="1"/>
    <x v="1"/>
    <x v="910"/>
    <n v="12023"/>
    <n v="7"/>
    <s v="Y"/>
    <x v="0"/>
    <n v="14"/>
    <n v="3"/>
    <n v="4"/>
    <n v="80"/>
    <n v="0"/>
    <n v="31"/>
    <n v="0"/>
    <n v="2"/>
    <n v="10"/>
    <n v="9"/>
    <x v="8"/>
    <x v="12"/>
  </r>
  <r>
    <x v="32"/>
    <x v="1"/>
    <x v="0"/>
    <n v="329"/>
    <x v="1"/>
    <x v="0"/>
    <n v="4"/>
    <x v="0"/>
    <n v="1"/>
    <n v="1361"/>
    <n v="2"/>
    <x v="1"/>
    <x v="64"/>
    <n v="3"/>
    <n v="1"/>
    <x v="2"/>
    <n v="2"/>
    <x v="1"/>
    <x v="911"/>
    <n v="6762"/>
    <n v="3"/>
    <s v="Y"/>
    <x v="1"/>
    <n v="22"/>
    <n v="4"/>
    <n v="3"/>
    <n v="80"/>
    <n v="1"/>
    <n v="7"/>
    <n v="3"/>
    <n v="3"/>
    <n v="4"/>
    <n v="2"/>
    <x v="0"/>
    <x v="6"/>
  </r>
  <r>
    <x v="9"/>
    <x v="1"/>
    <x v="1"/>
    <n v="607"/>
    <x v="0"/>
    <x v="15"/>
    <n v="3"/>
    <x v="3"/>
    <n v="1"/>
    <n v="1362"/>
    <n v="1"/>
    <x v="0"/>
    <x v="21"/>
    <n v="4"/>
    <n v="2"/>
    <x v="0"/>
    <n v="1"/>
    <x v="1"/>
    <x v="912"/>
    <n v="2261"/>
    <n v="2"/>
    <s v="Y"/>
    <x v="1"/>
    <n v="16"/>
    <n v="3"/>
    <n v="4"/>
    <n v="80"/>
    <n v="1"/>
    <n v="17"/>
    <n v="2"/>
    <n v="2"/>
    <n v="15"/>
    <n v="7"/>
    <x v="7"/>
    <x v="15"/>
  </r>
  <r>
    <x v="26"/>
    <x v="1"/>
    <x v="0"/>
    <n v="855"/>
    <x v="1"/>
    <x v="18"/>
    <n v="3"/>
    <x v="0"/>
    <n v="1"/>
    <n v="1363"/>
    <n v="4"/>
    <x v="1"/>
    <x v="60"/>
    <n v="3"/>
    <n v="3"/>
    <x v="3"/>
    <n v="4"/>
    <x v="0"/>
    <x v="913"/>
    <n v="18706"/>
    <n v="1"/>
    <s v="Y"/>
    <x v="1"/>
    <n v="11"/>
    <n v="3"/>
    <n v="3"/>
    <n v="80"/>
    <n v="0"/>
    <n v="11"/>
    <n v="2"/>
    <n v="3"/>
    <n v="10"/>
    <n v="9"/>
    <x v="0"/>
    <x v="5"/>
  </r>
  <r>
    <x v="4"/>
    <x v="1"/>
    <x v="0"/>
    <n v="1291"/>
    <x v="0"/>
    <x v="13"/>
    <n v="3"/>
    <x v="2"/>
    <n v="1"/>
    <n v="1364"/>
    <n v="3"/>
    <x v="0"/>
    <x v="33"/>
    <n v="4"/>
    <n v="1"/>
    <x v="6"/>
    <n v="4"/>
    <x v="1"/>
    <x v="914"/>
    <n v="6527"/>
    <n v="8"/>
    <s v="Y"/>
    <x v="1"/>
    <n v="14"/>
    <n v="3"/>
    <n v="2"/>
    <n v="80"/>
    <n v="1"/>
    <n v="5"/>
    <n v="4"/>
    <n v="3"/>
    <n v="1"/>
    <n v="0"/>
    <x v="0"/>
    <x v="2"/>
  </r>
  <r>
    <x v="31"/>
    <x v="1"/>
    <x v="0"/>
    <n v="1405"/>
    <x v="1"/>
    <x v="13"/>
    <n v="2"/>
    <x v="4"/>
    <n v="1"/>
    <n v="1367"/>
    <n v="4"/>
    <x v="0"/>
    <x v="19"/>
    <n v="2"/>
    <n v="4"/>
    <x v="3"/>
    <n v="2"/>
    <x v="0"/>
    <x v="915"/>
    <n v="24439"/>
    <n v="3"/>
    <s v="Y"/>
    <x v="1"/>
    <n v="16"/>
    <n v="3"/>
    <n v="2"/>
    <n v="80"/>
    <n v="0"/>
    <n v="29"/>
    <n v="1"/>
    <n v="2"/>
    <n v="5"/>
    <n v="2"/>
    <x v="0"/>
    <x v="6"/>
  </r>
  <r>
    <x v="41"/>
    <x v="1"/>
    <x v="2"/>
    <n v="1124"/>
    <x v="1"/>
    <x v="0"/>
    <n v="3"/>
    <x v="0"/>
    <n v="1"/>
    <n v="1368"/>
    <n v="4"/>
    <x v="0"/>
    <x v="28"/>
    <n v="3"/>
    <n v="1"/>
    <x v="2"/>
    <n v="4"/>
    <x v="0"/>
    <x v="916"/>
    <n v="19305"/>
    <n v="1"/>
    <s v="Y"/>
    <x v="1"/>
    <n v="15"/>
    <n v="3"/>
    <n v="3"/>
    <n v="80"/>
    <n v="0"/>
    <n v="0"/>
    <n v="5"/>
    <n v="4"/>
    <n v="0"/>
    <n v="0"/>
    <x v="0"/>
    <x v="2"/>
  </r>
  <r>
    <x v="10"/>
    <x v="1"/>
    <x v="0"/>
    <n v="817"/>
    <x v="1"/>
    <x v="0"/>
    <n v="3"/>
    <x v="2"/>
    <n v="1"/>
    <n v="1369"/>
    <n v="4"/>
    <x v="0"/>
    <x v="53"/>
    <n v="2"/>
    <n v="2"/>
    <x v="2"/>
    <n v="4"/>
    <x v="1"/>
    <x v="917"/>
    <n v="10846"/>
    <n v="0"/>
    <s v="Y"/>
    <x v="1"/>
    <n v="12"/>
    <n v="3"/>
    <n v="2"/>
    <n v="80"/>
    <n v="1"/>
    <n v="10"/>
    <n v="0"/>
    <n v="3"/>
    <n v="9"/>
    <n v="7"/>
    <x v="0"/>
    <x v="2"/>
  </r>
  <r>
    <x v="4"/>
    <x v="1"/>
    <x v="1"/>
    <n v="793"/>
    <x v="0"/>
    <x v="2"/>
    <n v="1"/>
    <x v="0"/>
    <n v="1"/>
    <n v="1371"/>
    <n v="4"/>
    <x v="1"/>
    <x v="38"/>
    <n v="1"/>
    <n v="2"/>
    <x v="0"/>
    <n v="4"/>
    <x v="0"/>
    <x v="918"/>
    <n v="20392"/>
    <n v="3"/>
    <s v="Y"/>
    <x v="1"/>
    <n v="20"/>
    <n v="4"/>
    <n v="2"/>
    <n v="80"/>
    <n v="0"/>
    <n v="8"/>
    <n v="3"/>
    <n v="3"/>
    <n v="6"/>
    <n v="2"/>
    <x v="0"/>
    <x v="2"/>
  </r>
  <r>
    <x v="27"/>
    <x v="0"/>
    <x v="0"/>
    <n v="267"/>
    <x v="0"/>
    <x v="28"/>
    <n v="4"/>
    <x v="3"/>
    <n v="1"/>
    <n v="1372"/>
    <n v="1"/>
    <x v="1"/>
    <x v="65"/>
    <n v="4"/>
    <n v="4"/>
    <x v="0"/>
    <n v="3"/>
    <x v="0"/>
    <x v="919"/>
    <n v="9277"/>
    <n v="6"/>
    <s v="Y"/>
    <x v="0"/>
    <n v="17"/>
    <n v="3"/>
    <n v="3"/>
    <n v="80"/>
    <n v="0"/>
    <n v="24"/>
    <n v="2"/>
    <n v="2"/>
    <n v="19"/>
    <n v="7"/>
    <x v="2"/>
    <x v="5"/>
  </r>
  <r>
    <x v="29"/>
    <x v="1"/>
    <x v="0"/>
    <n v="1369"/>
    <x v="1"/>
    <x v="5"/>
    <n v="3"/>
    <x v="0"/>
    <n v="1"/>
    <n v="1373"/>
    <n v="4"/>
    <x v="1"/>
    <x v="67"/>
    <n v="3"/>
    <n v="4"/>
    <x v="3"/>
    <n v="2"/>
    <x v="1"/>
    <x v="920"/>
    <n v="18235"/>
    <n v="4"/>
    <s v="Y"/>
    <x v="0"/>
    <n v="12"/>
    <n v="3"/>
    <n v="1"/>
    <n v="80"/>
    <n v="1"/>
    <n v="33"/>
    <n v="0"/>
    <n v="3"/>
    <n v="19"/>
    <n v="16"/>
    <x v="9"/>
    <x v="12"/>
  </r>
  <r>
    <x v="13"/>
    <x v="1"/>
    <x v="2"/>
    <n v="999"/>
    <x v="1"/>
    <x v="9"/>
    <n v="1"/>
    <x v="4"/>
    <n v="1"/>
    <n v="1374"/>
    <n v="1"/>
    <x v="0"/>
    <x v="2"/>
    <n v="2"/>
    <n v="1"/>
    <x v="1"/>
    <n v="3"/>
    <x v="2"/>
    <x v="921"/>
    <n v="15891"/>
    <n v="1"/>
    <s v="Y"/>
    <x v="1"/>
    <n v="20"/>
    <n v="4"/>
    <n v="3"/>
    <n v="80"/>
    <n v="3"/>
    <n v="5"/>
    <n v="2"/>
    <n v="3"/>
    <n v="5"/>
    <n v="4"/>
    <x v="0"/>
    <x v="2"/>
  </r>
  <r>
    <x v="32"/>
    <x v="1"/>
    <x v="0"/>
    <n v="1202"/>
    <x v="1"/>
    <x v="2"/>
    <n v="1"/>
    <x v="2"/>
    <n v="1"/>
    <n v="1375"/>
    <n v="2"/>
    <x v="0"/>
    <x v="66"/>
    <n v="4"/>
    <n v="2"/>
    <x v="4"/>
    <n v="3"/>
    <x v="2"/>
    <x v="922"/>
    <n v="13888"/>
    <n v="5"/>
    <s v="Y"/>
    <x v="1"/>
    <n v="20"/>
    <n v="4"/>
    <n v="2"/>
    <n v="80"/>
    <n v="3"/>
    <n v="15"/>
    <n v="0"/>
    <n v="3"/>
    <n v="12"/>
    <n v="11"/>
    <x v="14"/>
    <x v="5"/>
  </r>
  <r>
    <x v="13"/>
    <x v="1"/>
    <x v="0"/>
    <n v="285"/>
    <x v="1"/>
    <x v="22"/>
    <n v="3"/>
    <x v="2"/>
    <n v="1"/>
    <n v="1377"/>
    <n v="2"/>
    <x v="1"/>
    <x v="27"/>
    <n v="3"/>
    <n v="2"/>
    <x v="2"/>
    <n v="3"/>
    <x v="1"/>
    <x v="923"/>
    <n v="17491"/>
    <n v="4"/>
    <s v="Y"/>
    <x v="1"/>
    <n v="13"/>
    <n v="3"/>
    <n v="1"/>
    <n v="80"/>
    <n v="2"/>
    <n v="10"/>
    <n v="1"/>
    <n v="3"/>
    <n v="8"/>
    <n v="7"/>
    <x v="4"/>
    <x v="1"/>
  </r>
  <r>
    <x v="12"/>
    <x v="0"/>
    <x v="1"/>
    <n v="703"/>
    <x v="0"/>
    <x v="2"/>
    <n v="3"/>
    <x v="0"/>
    <n v="1"/>
    <n v="1379"/>
    <n v="3"/>
    <x v="0"/>
    <x v="62"/>
    <n v="2"/>
    <n v="1"/>
    <x v="6"/>
    <n v="4"/>
    <x v="0"/>
    <x v="924"/>
    <n v="11882"/>
    <n v="7"/>
    <s v="Y"/>
    <x v="1"/>
    <n v="14"/>
    <n v="3"/>
    <n v="3"/>
    <n v="80"/>
    <n v="0"/>
    <n v="3"/>
    <n v="3"/>
    <n v="4"/>
    <n v="1"/>
    <n v="0"/>
    <x v="0"/>
    <x v="2"/>
  </r>
  <r>
    <x v="10"/>
    <x v="0"/>
    <x v="1"/>
    <n v="662"/>
    <x v="0"/>
    <x v="21"/>
    <n v="4"/>
    <x v="3"/>
    <n v="1"/>
    <n v="1380"/>
    <n v="4"/>
    <x v="0"/>
    <x v="7"/>
    <n v="3"/>
    <n v="2"/>
    <x v="0"/>
    <n v="3"/>
    <x v="1"/>
    <x v="925"/>
    <n v="23288"/>
    <n v="0"/>
    <s v="Y"/>
    <x v="0"/>
    <n v="18"/>
    <n v="3"/>
    <n v="3"/>
    <n v="80"/>
    <n v="1"/>
    <n v="5"/>
    <n v="0"/>
    <n v="2"/>
    <n v="4"/>
    <n v="2"/>
    <x v="2"/>
    <x v="3"/>
  </r>
  <r>
    <x v="8"/>
    <x v="1"/>
    <x v="1"/>
    <n v="693"/>
    <x v="1"/>
    <x v="15"/>
    <n v="3"/>
    <x v="0"/>
    <n v="1"/>
    <n v="1382"/>
    <n v="4"/>
    <x v="1"/>
    <x v="42"/>
    <n v="4"/>
    <n v="1"/>
    <x v="1"/>
    <n v="3"/>
    <x v="2"/>
    <x v="353"/>
    <n v="15748"/>
    <n v="1"/>
    <s v="Y"/>
    <x v="1"/>
    <n v="11"/>
    <n v="3"/>
    <n v="4"/>
    <n v="80"/>
    <n v="3"/>
    <n v="4"/>
    <n v="2"/>
    <n v="3"/>
    <n v="4"/>
    <n v="2"/>
    <x v="0"/>
    <x v="6"/>
  </r>
  <r>
    <x v="13"/>
    <x v="1"/>
    <x v="0"/>
    <n v="404"/>
    <x v="1"/>
    <x v="2"/>
    <n v="4"/>
    <x v="4"/>
    <n v="1"/>
    <n v="1383"/>
    <n v="3"/>
    <x v="0"/>
    <x v="33"/>
    <n v="3"/>
    <n v="2"/>
    <x v="4"/>
    <n v="4"/>
    <x v="0"/>
    <x v="926"/>
    <n v="6163"/>
    <n v="1"/>
    <s v="Y"/>
    <x v="1"/>
    <n v="11"/>
    <n v="3"/>
    <n v="4"/>
    <n v="80"/>
    <n v="0"/>
    <n v="14"/>
    <n v="2"/>
    <n v="4"/>
    <n v="14"/>
    <n v="11"/>
    <x v="5"/>
    <x v="7"/>
  </r>
  <r>
    <x v="14"/>
    <x v="1"/>
    <x v="0"/>
    <n v="736"/>
    <x v="0"/>
    <x v="9"/>
    <n v="3"/>
    <x v="0"/>
    <n v="1"/>
    <n v="1387"/>
    <n v="3"/>
    <x v="1"/>
    <x v="24"/>
    <n v="2"/>
    <n v="2"/>
    <x v="0"/>
    <n v="1"/>
    <x v="1"/>
    <x v="927"/>
    <n v="24232"/>
    <n v="1"/>
    <s v="Y"/>
    <x v="1"/>
    <n v="11"/>
    <n v="3"/>
    <n v="3"/>
    <n v="80"/>
    <n v="1"/>
    <n v="5"/>
    <n v="0"/>
    <n v="3"/>
    <n v="5"/>
    <n v="3"/>
    <x v="0"/>
    <x v="10"/>
  </r>
  <r>
    <x v="12"/>
    <x v="0"/>
    <x v="0"/>
    <n v="330"/>
    <x v="1"/>
    <x v="23"/>
    <n v="4"/>
    <x v="2"/>
    <n v="1"/>
    <n v="1389"/>
    <n v="4"/>
    <x v="1"/>
    <x v="33"/>
    <n v="3"/>
    <n v="2"/>
    <x v="3"/>
    <n v="3"/>
    <x v="1"/>
    <x v="928"/>
    <n v="21057"/>
    <n v="1"/>
    <s v="Y"/>
    <x v="0"/>
    <n v="15"/>
    <n v="3"/>
    <n v="4"/>
    <n v="80"/>
    <n v="2"/>
    <n v="10"/>
    <n v="3"/>
    <n v="2"/>
    <n v="10"/>
    <n v="2"/>
    <x v="7"/>
    <x v="1"/>
  </r>
  <r>
    <x v="22"/>
    <x v="1"/>
    <x v="0"/>
    <n v="1498"/>
    <x v="0"/>
    <x v="11"/>
    <n v="4"/>
    <x v="0"/>
    <n v="1"/>
    <n v="1390"/>
    <n v="1"/>
    <x v="1"/>
    <x v="8"/>
    <n v="2"/>
    <n v="2"/>
    <x v="0"/>
    <n v="4"/>
    <x v="1"/>
    <x v="929"/>
    <n v="3567"/>
    <n v="3"/>
    <s v="Y"/>
    <x v="0"/>
    <n v="12"/>
    <n v="3"/>
    <n v="4"/>
    <n v="80"/>
    <n v="2"/>
    <n v="8"/>
    <n v="2"/>
    <n v="4"/>
    <n v="5"/>
    <n v="4"/>
    <x v="1"/>
    <x v="10"/>
  </r>
  <r>
    <x v="31"/>
    <x v="1"/>
    <x v="1"/>
    <n v="541"/>
    <x v="0"/>
    <x v="2"/>
    <n v="3"/>
    <x v="3"/>
    <n v="1"/>
    <n v="1391"/>
    <n v="2"/>
    <x v="1"/>
    <x v="48"/>
    <n v="3"/>
    <n v="3"/>
    <x v="0"/>
    <n v="2"/>
    <x v="1"/>
    <x v="930"/>
    <n v="15395"/>
    <n v="2"/>
    <s v="Y"/>
    <x v="1"/>
    <n v="11"/>
    <n v="3"/>
    <n v="2"/>
    <n v="80"/>
    <n v="0"/>
    <n v="14"/>
    <n v="5"/>
    <n v="3"/>
    <n v="4"/>
    <n v="2"/>
    <x v="2"/>
    <x v="3"/>
  </r>
  <r>
    <x v="0"/>
    <x v="1"/>
    <x v="1"/>
    <n v="1200"/>
    <x v="1"/>
    <x v="23"/>
    <n v="3"/>
    <x v="0"/>
    <n v="1"/>
    <n v="1392"/>
    <n v="4"/>
    <x v="0"/>
    <x v="29"/>
    <n v="3"/>
    <n v="2"/>
    <x v="1"/>
    <n v="4"/>
    <x v="2"/>
    <x v="931"/>
    <n v="13953"/>
    <n v="3"/>
    <s v="Y"/>
    <x v="0"/>
    <n v="14"/>
    <n v="3"/>
    <n v="1"/>
    <n v="80"/>
    <n v="2"/>
    <n v="12"/>
    <n v="4"/>
    <n v="2"/>
    <n v="6"/>
    <n v="2"/>
    <x v="2"/>
    <x v="6"/>
  </r>
  <r>
    <x v="2"/>
    <x v="1"/>
    <x v="0"/>
    <n v="1439"/>
    <x v="1"/>
    <x v="18"/>
    <n v="1"/>
    <x v="0"/>
    <n v="1"/>
    <n v="1394"/>
    <n v="3"/>
    <x v="1"/>
    <x v="60"/>
    <n v="3"/>
    <n v="1"/>
    <x v="1"/>
    <n v="3"/>
    <x v="1"/>
    <x v="932"/>
    <n v="5182"/>
    <n v="7"/>
    <s v="Y"/>
    <x v="0"/>
    <n v="15"/>
    <n v="3"/>
    <n v="4"/>
    <n v="80"/>
    <n v="0"/>
    <n v="8"/>
    <n v="2"/>
    <n v="3"/>
    <n v="6"/>
    <n v="4"/>
    <x v="1"/>
    <x v="6"/>
  </r>
  <r>
    <x v="3"/>
    <x v="1"/>
    <x v="1"/>
    <n v="1111"/>
    <x v="0"/>
    <x v="12"/>
    <n v="1"/>
    <x v="0"/>
    <n v="1"/>
    <n v="1395"/>
    <n v="2"/>
    <x v="1"/>
    <x v="1"/>
    <n v="3"/>
    <n v="2"/>
    <x v="0"/>
    <n v="4"/>
    <x v="1"/>
    <x v="933"/>
    <n v="19293"/>
    <n v="6"/>
    <s v="Y"/>
    <x v="1"/>
    <n v="13"/>
    <n v="3"/>
    <n v="1"/>
    <n v="80"/>
    <n v="0"/>
    <n v="8"/>
    <n v="2"/>
    <n v="4"/>
    <n v="5"/>
    <n v="4"/>
    <x v="1"/>
    <x v="3"/>
  </r>
  <r>
    <x v="5"/>
    <x v="1"/>
    <x v="0"/>
    <n v="499"/>
    <x v="0"/>
    <x v="2"/>
    <n v="1"/>
    <x v="3"/>
    <n v="1"/>
    <n v="1396"/>
    <n v="3"/>
    <x v="1"/>
    <x v="34"/>
    <n v="3"/>
    <n v="2"/>
    <x v="0"/>
    <n v="2"/>
    <x v="1"/>
    <x v="934"/>
    <n v="20497"/>
    <n v="0"/>
    <s v="Y"/>
    <x v="0"/>
    <n v="13"/>
    <n v="3"/>
    <n v="1"/>
    <n v="80"/>
    <n v="3"/>
    <n v="4"/>
    <n v="3"/>
    <n v="2"/>
    <n v="3"/>
    <n v="2"/>
    <x v="1"/>
    <x v="3"/>
  </r>
  <r>
    <x v="22"/>
    <x v="1"/>
    <x v="2"/>
    <n v="1485"/>
    <x v="1"/>
    <x v="19"/>
    <n v="2"/>
    <x v="0"/>
    <n v="1"/>
    <n v="1397"/>
    <n v="3"/>
    <x v="1"/>
    <x v="36"/>
    <n v="3"/>
    <n v="3"/>
    <x v="4"/>
    <n v="3"/>
    <x v="1"/>
    <x v="935"/>
    <n v="3449"/>
    <n v="3"/>
    <s v="Y"/>
    <x v="1"/>
    <n v="21"/>
    <n v="4"/>
    <n v="2"/>
    <n v="80"/>
    <n v="1"/>
    <n v="13"/>
    <n v="2"/>
    <n v="3"/>
    <n v="6"/>
    <n v="4"/>
    <x v="0"/>
    <x v="0"/>
  </r>
  <r>
    <x v="36"/>
    <x v="1"/>
    <x v="0"/>
    <n v="1372"/>
    <x v="0"/>
    <x v="21"/>
    <n v="1"/>
    <x v="0"/>
    <n v="1"/>
    <n v="1399"/>
    <n v="1"/>
    <x v="1"/>
    <x v="12"/>
    <n v="4"/>
    <n v="2"/>
    <x v="0"/>
    <n v="3"/>
    <x v="1"/>
    <x v="936"/>
    <n v="12477"/>
    <n v="2"/>
    <s v="Y"/>
    <x v="1"/>
    <n v="11"/>
    <n v="3"/>
    <n v="2"/>
    <n v="80"/>
    <n v="0"/>
    <n v="6"/>
    <n v="3"/>
    <n v="2"/>
    <n v="3"/>
    <n v="2"/>
    <x v="1"/>
    <x v="3"/>
  </r>
  <r>
    <x v="39"/>
    <x v="1"/>
    <x v="1"/>
    <n v="322"/>
    <x v="1"/>
    <x v="26"/>
    <n v="2"/>
    <x v="2"/>
    <n v="1"/>
    <n v="1401"/>
    <n v="4"/>
    <x v="0"/>
    <x v="40"/>
    <n v="4"/>
    <n v="4"/>
    <x v="3"/>
    <n v="3"/>
    <x v="1"/>
    <x v="937"/>
    <n v="9731"/>
    <n v="2"/>
    <s v="Y"/>
    <x v="0"/>
    <n v="11"/>
    <n v="3"/>
    <n v="2"/>
    <n v="80"/>
    <n v="1"/>
    <n v="24"/>
    <n v="3"/>
    <n v="2"/>
    <n v="5"/>
    <n v="3"/>
    <x v="0"/>
    <x v="3"/>
  </r>
  <r>
    <x v="23"/>
    <x v="1"/>
    <x v="0"/>
    <n v="930"/>
    <x v="1"/>
    <x v="16"/>
    <n v="3"/>
    <x v="2"/>
    <n v="1"/>
    <n v="1402"/>
    <n v="1"/>
    <x v="0"/>
    <x v="32"/>
    <n v="2"/>
    <n v="2"/>
    <x v="1"/>
    <n v="3"/>
    <x v="0"/>
    <x v="938"/>
    <n v="20003"/>
    <n v="1"/>
    <s v="Y"/>
    <x v="0"/>
    <n v="14"/>
    <n v="3"/>
    <n v="1"/>
    <n v="80"/>
    <n v="0"/>
    <n v="20"/>
    <n v="3"/>
    <n v="1"/>
    <n v="20"/>
    <n v="7"/>
    <x v="1"/>
    <x v="5"/>
  </r>
  <r>
    <x v="4"/>
    <x v="1"/>
    <x v="0"/>
    <n v="205"/>
    <x v="0"/>
    <x v="17"/>
    <n v="3"/>
    <x v="3"/>
    <n v="1"/>
    <n v="1403"/>
    <n v="4"/>
    <x v="0"/>
    <x v="33"/>
    <n v="2"/>
    <n v="2"/>
    <x v="0"/>
    <n v="4"/>
    <x v="1"/>
    <x v="939"/>
    <n v="7100"/>
    <n v="1"/>
    <s v="Y"/>
    <x v="0"/>
    <n v="11"/>
    <n v="3"/>
    <n v="4"/>
    <n v="80"/>
    <n v="0"/>
    <n v="6"/>
    <n v="3"/>
    <n v="3"/>
    <n v="6"/>
    <n v="2"/>
    <x v="5"/>
    <x v="10"/>
  </r>
  <r>
    <x v="4"/>
    <x v="0"/>
    <x v="0"/>
    <n v="135"/>
    <x v="1"/>
    <x v="27"/>
    <n v="4"/>
    <x v="0"/>
    <n v="1"/>
    <n v="1405"/>
    <n v="4"/>
    <x v="0"/>
    <x v="14"/>
    <n v="3"/>
    <n v="1"/>
    <x v="1"/>
    <n v="3"/>
    <x v="0"/>
    <x v="940"/>
    <n v="25681"/>
    <n v="1"/>
    <s v="Y"/>
    <x v="0"/>
    <n v="13"/>
    <n v="3"/>
    <n v="4"/>
    <n v="80"/>
    <n v="0"/>
    <n v="8"/>
    <n v="2"/>
    <n v="3"/>
    <n v="8"/>
    <n v="2"/>
    <x v="4"/>
    <x v="1"/>
  </r>
  <r>
    <x v="25"/>
    <x v="1"/>
    <x v="0"/>
    <n v="683"/>
    <x v="1"/>
    <x v="2"/>
    <n v="1"/>
    <x v="2"/>
    <n v="1"/>
    <n v="1407"/>
    <n v="1"/>
    <x v="1"/>
    <x v="34"/>
    <n v="2"/>
    <n v="1"/>
    <x v="1"/>
    <n v="4"/>
    <x v="0"/>
    <x v="885"/>
    <n v="4050"/>
    <n v="0"/>
    <s v="Y"/>
    <x v="1"/>
    <n v="12"/>
    <n v="3"/>
    <n v="4"/>
    <n v="80"/>
    <n v="0"/>
    <n v="5"/>
    <n v="2"/>
    <n v="3"/>
    <n v="4"/>
    <n v="3"/>
    <x v="1"/>
    <x v="9"/>
  </r>
  <r>
    <x v="19"/>
    <x v="1"/>
    <x v="0"/>
    <n v="1147"/>
    <x v="2"/>
    <x v="17"/>
    <n v="3"/>
    <x v="5"/>
    <n v="1"/>
    <n v="1408"/>
    <n v="3"/>
    <x v="0"/>
    <x v="11"/>
    <n v="3"/>
    <n v="4"/>
    <x v="5"/>
    <n v="1"/>
    <x v="1"/>
    <x v="941"/>
    <n v="16616"/>
    <n v="0"/>
    <s v="Y"/>
    <x v="1"/>
    <n v="14"/>
    <n v="3"/>
    <n v="3"/>
    <n v="80"/>
    <n v="1"/>
    <n v="21"/>
    <n v="5"/>
    <n v="3"/>
    <n v="20"/>
    <n v="7"/>
    <x v="0"/>
    <x v="12"/>
  </r>
  <r>
    <x v="39"/>
    <x v="1"/>
    <x v="0"/>
    <n v="258"/>
    <x v="1"/>
    <x v="1"/>
    <n v="4"/>
    <x v="1"/>
    <n v="1"/>
    <n v="1409"/>
    <n v="3"/>
    <x v="0"/>
    <x v="60"/>
    <n v="3"/>
    <n v="1"/>
    <x v="2"/>
    <n v="1"/>
    <x v="1"/>
    <x v="942"/>
    <n v="17363"/>
    <n v="9"/>
    <s v="Y"/>
    <x v="1"/>
    <n v="13"/>
    <n v="3"/>
    <n v="3"/>
    <n v="80"/>
    <n v="0"/>
    <n v="12"/>
    <n v="2"/>
    <n v="1"/>
    <n v="5"/>
    <n v="4"/>
    <x v="0"/>
    <x v="10"/>
  </r>
  <r>
    <x v="2"/>
    <x v="1"/>
    <x v="0"/>
    <n v="1462"/>
    <x v="1"/>
    <x v="13"/>
    <n v="3"/>
    <x v="2"/>
    <n v="1"/>
    <n v="1411"/>
    <n v="1"/>
    <x v="0"/>
    <x v="0"/>
    <n v="3"/>
    <n v="1"/>
    <x v="2"/>
    <n v="3"/>
    <x v="0"/>
    <x v="943"/>
    <n v="19106"/>
    <n v="4"/>
    <s v="Y"/>
    <x v="1"/>
    <n v="18"/>
    <n v="3"/>
    <n v="1"/>
    <n v="80"/>
    <n v="0"/>
    <n v="8"/>
    <n v="6"/>
    <n v="3"/>
    <n v="3"/>
    <n v="2"/>
    <x v="0"/>
    <x v="3"/>
  </r>
  <r>
    <x v="10"/>
    <x v="1"/>
    <x v="1"/>
    <n v="200"/>
    <x v="1"/>
    <x v="21"/>
    <n v="2"/>
    <x v="0"/>
    <n v="1"/>
    <n v="1412"/>
    <n v="3"/>
    <x v="1"/>
    <x v="53"/>
    <n v="3"/>
    <n v="3"/>
    <x v="3"/>
    <n v="4"/>
    <x v="0"/>
    <x v="944"/>
    <n v="19944"/>
    <n v="2"/>
    <s v="Y"/>
    <x v="1"/>
    <n v="11"/>
    <n v="3"/>
    <n v="3"/>
    <n v="80"/>
    <n v="0"/>
    <n v="10"/>
    <n v="2"/>
    <n v="3"/>
    <n v="2"/>
    <n v="2"/>
    <x v="3"/>
    <x v="3"/>
  </r>
  <r>
    <x v="36"/>
    <x v="1"/>
    <x v="0"/>
    <n v="949"/>
    <x v="1"/>
    <x v="0"/>
    <n v="3"/>
    <x v="4"/>
    <n v="1"/>
    <n v="1415"/>
    <n v="1"/>
    <x v="1"/>
    <x v="6"/>
    <n v="3"/>
    <n v="1"/>
    <x v="2"/>
    <n v="4"/>
    <x v="1"/>
    <x v="945"/>
    <n v="4910"/>
    <n v="4"/>
    <s v="Y"/>
    <x v="1"/>
    <n v="11"/>
    <n v="3"/>
    <n v="2"/>
    <n v="80"/>
    <n v="1"/>
    <n v="7"/>
    <n v="2"/>
    <n v="2"/>
    <n v="3"/>
    <n v="2"/>
    <x v="0"/>
    <x v="3"/>
  </r>
  <r>
    <x v="25"/>
    <x v="1"/>
    <x v="0"/>
    <n v="652"/>
    <x v="1"/>
    <x v="15"/>
    <n v="3"/>
    <x v="1"/>
    <n v="1"/>
    <n v="1417"/>
    <n v="3"/>
    <x v="1"/>
    <x v="54"/>
    <n v="4"/>
    <n v="1"/>
    <x v="2"/>
    <n v="1"/>
    <x v="0"/>
    <x v="946"/>
    <n v="23577"/>
    <n v="0"/>
    <s v="Y"/>
    <x v="1"/>
    <n v="12"/>
    <n v="3"/>
    <n v="4"/>
    <n v="80"/>
    <n v="0"/>
    <n v="8"/>
    <n v="2"/>
    <n v="3"/>
    <n v="7"/>
    <n v="7"/>
    <x v="0"/>
    <x v="1"/>
  </r>
  <r>
    <x v="11"/>
    <x v="1"/>
    <x v="0"/>
    <n v="332"/>
    <x v="2"/>
    <x v="27"/>
    <n v="3"/>
    <x v="1"/>
    <n v="1"/>
    <n v="1419"/>
    <n v="2"/>
    <x v="1"/>
    <x v="14"/>
    <n v="2"/>
    <n v="3"/>
    <x v="8"/>
    <n v="1"/>
    <x v="0"/>
    <x v="947"/>
    <n v="9769"/>
    <n v="1"/>
    <s v="Y"/>
    <x v="1"/>
    <n v="13"/>
    <n v="3"/>
    <n v="1"/>
    <n v="80"/>
    <n v="0"/>
    <n v="10"/>
    <n v="3"/>
    <n v="2"/>
    <n v="10"/>
    <n v="9"/>
    <x v="0"/>
    <x v="12"/>
  </r>
  <r>
    <x v="1"/>
    <x v="0"/>
    <x v="1"/>
    <n v="1475"/>
    <x v="1"/>
    <x v="26"/>
    <n v="2"/>
    <x v="0"/>
    <n v="1"/>
    <n v="1420"/>
    <n v="1"/>
    <x v="1"/>
    <x v="28"/>
    <n v="2"/>
    <n v="2"/>
    <x v="2"/>
    <n v="1"/>
    <x v="0"/>
    <x v="948"/>
    <n v="22710"/>
    <n v="3"/>
    <s v="Y"/>
    <x v="1"/>
    <n v="20"/>
    <n v="4"/>
    <n v="1"/>
    <n v="80"/>
    <n v="0"/>
    <n v="20"/>
    <n v="2"/>
    <n v="3"/>
    <n v="4"/>
    <n v="3"/>
    <x v="1"/>
    <x v="6"/>
  </r>
  <r>
    <x v="11"/>
    <x v="0"/>
    <x v="1"/>
    <n v="337"/>
    <x v="1"/>
    <x v="24"/>
    <n v="1"/>
    <x v="1"/>
    <n v="1"/>
    <n v="1421"/>
    <n v="3"/>
    <x v="0"/>
    <x v="9"/>
    <n v="3"/>
    <n v="3"/>
    <x v="4"/>
    <n v="4"/>
    <x v="0"/>
    <x v="949"/>
    <n v="22930"/>
    <n v="0"/>
    <s v="Y"/>
    <x v="0"/>
    <n v="12"/>
    <n v="3"/>
    <n v="1"/>
    <n v="80"/>
    <n v="0"/>
    <n v="9"/>
    <n v="1"/>
    <n v="3"/>
    <n v="8"/>
    <n v="7"/>
    <x v="4"/>
    <x v="1"/>
  </r>
  <r>
    <x v="33"/>
    <x v="1"/>
    <x v="0"/>
    <n v="971"/>
    <x v="1"/>
    <x v="0"/>
    <n v="3"/>
    <x v="2"/>
    <n v="1"/>
    <n v="1422"/>
    <n v="4"/>
    <x v="0"/>
    <x v="60"/>
    <n v="3"/>
    <n v="4"/>
    <x v="7"/>
    <n v="4"/>
    <x v="0"/>
    <x v="109"/>
    <n v="5652"/>
    <n v="6"/>
    <s v="Y"/>
    <x v="1"/>
    <n v="19"/>
    <n v="3"/>
    <n v="4"/>
    <n v="80"/>
    <n v="0"/>
    <n v="29"/>
    <n v="3"/>
    <n v="2"/>
    <n v="20"/>
    <n v="7"/>
    <x v="12"/>
    <x v="1"/>
  </r>
  <r>
    <x v="34"/>
    <x v="1"/>
    <x v="0"/>
    <n v="1055"/>
    <x v="1"/>
    <x v="0"/>
    <n v="3"/>
    <x v="2"/>
    <n v="1"/>
    <n v="1423"/>
    <n v="4"/>
    <x v="0"/>
    <x v="43"/>
    <n v="3"/>
    <n v="5"/>
    <x v="7"/>
    <n v="1"/>
    <x v="1"/>
    <x v="950"/>
    <n v="22456"/>
    <n v="3"/>
    <s v="Y"/>
    <x v="0"/>
    <n v="21"/>
    <n v="4"/>
    <n v="3"/>
    <n v="80"/>
    <n v="1"/>
    <n v="32"/>
    <n v="3"/>
    <n v="3"/>
    <n v="9"/>
    <n v="8"/>
    <x v="1"/>
    <x v="0"/>
  </r>
  <r>
    <x v="27"/>
    <x v="1"/>
    <x v="0"/>
    <n v="1136"/>
    <x v="1"/>
    <x v="0"/>
    <n v="4"/>
    <x v="2"/>
    <n v="1"/>
    <n v="1424"/>
    <n v="2"/>
    <x v="1"/>
    <x v="6"/>
    <n v="4"/>
    <n v="4"/>
    <x v="7"/>
    <n v="4"/>
    <x v="2"/>
    <x v="951"/>
    <n v="12414"/>
    <n v="2"/>
    <s v="Y"/>
    <x v="1"/>
    <n v="13"/>
    <n v="3"/>
    <n v="4"/>
    <n v="80"/>
    <n v="2"/>
    <n v="31"/>
    <n v="4"/>
    <n v="4"/>
    <n v="7"/>
    <n v="7"/>
    <x v="0"/>
    <x v="2"/>
  </r>
  <r>
    <x v="9"/>
    <x v="1"/>
    <x v="0"/>
    <n v="1174"/>
    <x v="0"/>
    <x v="3"/>
    <n v="4"/>
    <x v="3"/>
    <n v="1"/>
    <n v="1425"/>
    <n v="1"/>
    <x v="0"/>
    <x v="39"/>
    <n v="3"/>
    <n v="2"/>
    <x v="0"/>
    <n v="2"/>
    <x v="0"/>
    <x v="952"/>
    <n v="20763"/>
    <n v="3"/>
    <s v="Y"/>
    <x v="0"/>
    <n v="16"/>
    <n v="3"/>
    <n v="4"/>
    <n v="80"/>
    <n v="0"/>
    <n v="15"/>
    <n v="3"/>
    <n v="3"/>
    <n v="5"/>
    <n v="4"/>
    <x v="0"/>
    <x v="9"/>
  </r>
  <r>
    <x v="12"/>
    <x v="0"/>
    <x v="1"/>
    <n v="667"/>
    <x v="0"/>
    <x v="0"/>
    <n v="4"/>
    <x v="0"/>
    <n v="1"/>
    <n v="1427"/>
    <n v="2"/>
    <x v="0"/>
    <x v="13"/>
    <n v="1"/>
    <n v="1"/>
    <x v="6"/>
    <n v="3"/>
    <x v="0"/>
    <x v="953"/>
    <n v="16154"/>
    <n v="1"/>
    <s v="Y"/>
    <x v="1"/>
    <n v="12"/>
    <n v="3"/>
    <n v="2"/>
    <n v="80"/>
    <n v="0"/>
    <n v="1"/>
    <n v="3"/>
    <n v="3"/>
    <n v="1"/>
    <n v="0"/>
    <x v="0"/>
    <x v="2"/>
  </r>
  <r>
    <x v="7"/>
    <x v="1"/>
    <x v="0"/>
    <n v="855"/>
    <x v="0"/>
    <x v="15"/>
    <n v="4"/>
    <x v="3"/>
    <n v="1"/>
    <n v="1428"/>
    <n v="4"/>
    <x v="0"/>
    <x v="32"/>
    <n v="3"/>
    <n v="2"/>
    <x v="0"/>
    <n v="1"/>
    <x v="2"/>
    <x v="586"/>
    <n v="12761"/>
    <n v="7"/>
    <s v="Y"/>
    <x v="1"/>
    <n v="14"/>
    <n v="3"/>
    <n v="2"/>
    <n v="80"/>
    <n v="2"/>
    <n v="8"/>
    <n v="3"/>
    <n v="3"/>
    <n v="3"/>
    <n v="2"/>
    <x v="0"/>
    <x v="3"/>
  </r>
  <r>
    <x v="12"/>
    <x v="1"/>
    <x v="0"/>
    <n v="182"/>
    <x v="1"/>
    <x v="1"/>
    <n v="5"/>
    <x v="0"/>
    <n v="1"/>
    <n v="1430"/>
    <n v="1"/>
    <x v="0"/>
    <x v="12"/>
    <n v="3"/>
    <n v="4"/>
    <x v="7"/>
    <n v="2"/>
    <x v="0"/>
    <x v="954"/>
    <n v="8847"/>
    <n v="3"/>
    <s v="Y"/>
    <x v="1"/>
    <n v="11"/>
    <n v="3"/>
    <n v="3"/>
    <n v="80"/>
    <n v="0"/>
    <n v="9"/>
    <n v="3"/>
    <n v="4"/>
    <n v="3"/>
    <n v="2"/>
    <x v="1"/>
    <x v="2"/>
  </r>
  <r>
    <x v="13"/>
    <x v="1"/>
    <x v="1"/>
    <n v="560"/>
    <x v="1"/>
    <x v="0"/>
    <n v="4"/>
    <x v="1"/>
    <n v="1"/>
    <n v="1431"/>
    <n v="4"/>
    <x v="1"/>
    <x v="59"/>
    <n v="3"/>
    <n v="1"/>
    <x v="1"/>
    <n v="1"/>
    <x v="2"/>
    <x v="932"/>
    <n v="20284"/>
    <n v="5"/>
    <s v="Y"/>
    <x v="1"/>
    <n v="14"/>
    <n v="3"/>
    <n v="3"/>
    <n v="80"/>
    <n v="2"/>
    <n v="10"/>
    <n v="2"/>
    <n v="3"/>
    <n v="4"/>
    <n v="3"/>
    <x v="1"/>
    <x v="6"/>
  </r>
  <r>
    <x v="12"/>
    <x v="0"/>
    <x v="0"/>
    <n v="202"/>
    <x v="1"/>
    <x v="1"/>
    <n v="3"/>
    <x v="0"/>
    <n v="1"/>
    <n v="1433"/>
    <n v="1"/>
    <x v="0"/>
    <x v="61"/>
    <n v="2"/>
    <n v="1"/>
    <x v="1"/>
    <n v="2"/>
    <x v="0"/>
    <x v="955"/>
    <n v="22262"/>
    <n v="1"/>
    <s v="Y"/>
    <x v="1"/>
    <n v="12"/>
    <n v="3"/>
    <n v="3"/>
    <n v="80"/>
    <n v="0"/>
    <n v="1"/>
    <n v="3"/>
    <n v="4"/>
    <n v="1"/>
    <n v="0"/>
    <x v="0"/>
    <x v="2"/>
  </r>
  <r>
    <x v="4"/>
    <x v="1"/>
    <x v="0"/>
    <n v="1377"/>
    <x v="1"/>
    <x v="13"/>
    <n v="1"/>
    <x v="0"/>
    <n v="1"/>
    <n v="1434"/>
    <n v="2"/>
    <x v="1"/>
    <x v="59"/>
    <n v="3"/>
    <n v="1"/>
    <x v="2"/>
    <n v="1"/>
    <x v="1"/>
    <x v="956"/>
    <n v="7679"/>
    <n v="0"/>
    <s v="Y"/>
    <x v="1"/>
    <n v="14"/>
    <n v="3"/>
    <n v="2"/>
    <n v="80"/>
    <n v="0"/>
    <n v="6"/>
    <n v="3"/>
    <n v="4"/>
    <n v="5"/>
    <n v="0"/>
    <x v="1"/>
    <x v="10"/>
  </r>
  <r>
    <x v="9"/>
    <x v="1"/>
    <x v="0"/>
    <n v="172"/>
    <x v="1"/>
    <x v="18"/>
    <n v="4"/>
    <x v="0"/>
    <n v="1"/>
    <n v="1435"/>
    <n v="1"/>
    <x v="1"/>
    <x v="31"/>
    <n v="2"/>
    <n v="2"/>
    <x v="2"/>
    <n v="4"/>
    <x v="0"/>
    <x v="957"/>
    <n v="22604"/>
    <n v="1"/>
    <s v="Y"/>
    <x v="1"/>
    <n v="16"/>
    <n v="3"/>
    <n v="3"/>
    <n v="80"/>
    <n v="0"/>
    <n v="10"/>
    <n v="2"/>
    <n v="2"/>
    <n v="10"/>
    <n v="4"/>
    <x v="1"/>
    <x v="5"/>
  </r>
  <r>
    <x v="9"/>
    <x v="1"/>
    <x v="0"/>
    <n v="329"/>
    <x v="0"/>
    <x v="7"/>
    <n v="4"/>
    <x v="3"/>
    <n v="1"/>
    <n v="1436"/>
    <n v="3"/>
    <x v="0"/>
    <x v="33"/>
    <n v="2"/>
    <n v="2"/>
    <x v="0"/>
    <n v="1"/>
    <x v="1"/>
    <x v="958"/>
    <n v="13494"/>
    <n v="4"/>
    <s v="Y"/>
    <x v="1"/>
    <n v="13"/>
    <n v="3"/>
    <n v="1"/>
    <n v="80"/>
    <n v="2"/>
    <n v="11"/>
    <n v="3"/>
    <n v="2"/>
    <n v="3"/>
    <n v="2"/>
    <x v="0"/>
    <x v="3"/>
  </r>
  <r>
    <x v="40"/>
    <x v="1"/>
    <x v="0"/>
    <n v="465"/>
    <x v="1"/>
    <x v="0"/>
    <n v="3"/>
    <x v="4"/>
    <n v="1"/>
    <n v="1438"/>
    <n v="1"/>
    <x v="1"/>
    <x v="69"/>
    <n v="3"/>
    <n v="1"/>
    <x v="1"/>
    <n v="4"/>
    <x v="1"/>
    <x v="959"/>
    <n v="10205"/>
    <n v="7"/>
    <s v="Y"/>
    <x v="1"/>
    <n v="12"/>
    <n v="3"/>
    <n v="3"/>
    <n v="80"/>
    <n v="1"/>
    <n v="17"/>
    <n v="2"/>
    <n v="2"/>
    <n v="6"/>
    <n v="5"/>
    <x v="1"/>
    <x v="3"/>
  </r>
  <r>
    <x v="36"/>
    <x v="0"/>
    <x v="0"/>
    <n v="383"/>
    <x v="0"/>
    <x v="14"/>
    <n v="2"/>
    <x v="0"/>
    <n v="1"/>
    <n v="1439"/>
    <n v="1"/>
    <x v="1"/>
    <x v="67"/>
    <n v="2"/>
    <n v="1"/>
    <x v="6"/>
    <n v="1"/>
    <x v="1"/>
    <x v="960"/>
    <n v="15182"/>
    <n v="3"/>
    <s v="Y"/>
    <x v="1"/>
    <n v="12"/>
    <n v="3"/>
    <n v="1"/>
    <n v="80"/>
    <n v="0"/>
    <n v="6"/>
    <n v="2"/>
    <n v="3"/>
    <n v="3"/>
    <n v="2"/>
    <x v="3"/>
    <x v="3"/>
  </r>
  <r>
    <x v="2"/>
    <x v="1"/>
    <x v="2"/>
    <n v="1413"/>
    <x v="1"/>
    <x v="12"/>
    <n v="2"/>
    <x v="4"/>
    <n v="1"/>
    <n v="1440"/>
    <n v="3"/>
    <x v="1"/>
    <x v="9"/>
    <n v="4"/>
    <n v="1"/>
    <x v="2"/>
    <n v="3"/>
    <x v="0"/>
    <x v="961"/>
    <n v="25470"/>
    <n v="0"/>
    <s v="Y"/>
    <x v="1"/>
    <n v="14"/>
    <n v="3"/>
    <n v="1"/>
    <n v="80"/>
    <n v="0"/>
    <n v="7"/>
    <n v="2"/>
    <n v="1"/>
    <n v="6"/>
    <n v="5"/>
    <x v="1"/>
    <x v="6"/>
  </r>
  <r>
    <x v="29"/>
    <x v="1"/>
    <x v="0"/>
    <n v="1255"/>
    <x v="1"/>
    <x v="0"/>
    <n v="2"/>
    <x v="0"/>
    <n v="1"/>
    <n v="1441"/>
    <n v="1"/>
    <x v="0"/>
    <x v="62"/>
    <n v="3"/>
    <n v="1"/>
    <x v="1"/>
    <n v="1"/>
    <x v="1"/>
    <x v="962"/>
    <n v="10494"/>
    <n v="2"/>
    <s v="Y"/>
    <x v="1"/>
    <n v="22"/>
    <n v="4"/>
    <n v="4"/>
    <n v="80"/>
    <n v="1"/>
    <n v="5"/>
    <n v="3"/>
    <n v="4"/>
    <n v="3"/>
    <n v="2"/>
    <x v="1"/>
    <x v="2"/>
  </r>
  <r>
    <x v="40"/>
    <x v="1"/>
    <x v="0"/>
    <n v="359"/>
    <x v="1"/>
    <x v="2"/>
    <n v="4"/>
    <x v="2"/>
    <n v="1"/>
    <n v="1443"/>
    <n v="1"/>
    <x v="0"/>
    <x v="19"/>
    <n v="3"/>
    <n v="4"/>
    <x v="7"/>
    <n v="3"/>
    <x v="1"/>
    <x v="963"/>
    <n v="26703"/>
    <n v="3"/>
    <s v="Y"/>
    <x v="1"/>
    <n v="19"/>
    <n v="3"/>
    <n v="2"/>
    <n v="80"/>
    <n v="2"/>
    <n v="26"/>
    <n v="2"/>
    <n v="4"/>
    <n v="20"/>
    <n v="17"/>
    <x v="8"/>
    <x v="4"/>
  </r>
  <r>
    <x v="17"/>
    <x v="1"/>
    <x v="0"/>
    <n v="1476"/>
    <x v="0"/>
    <x v="18"/>
    <n v="1"/>
    <x v="2"/>
    <n v="1"/>
    <n v="1445"/>
    <n v="4"/>
    <x v="0"/>
    <x v="25"/>
    <n v="3"/>
    <n v="2"/>
    <x v="0"/>
    <n v="3"/>
    <x v="1"/>
    <x v="964"/>
    <n v="15211"/>
    <n v="1"/>
    <s v="Y"/>
    <x v="0"/>
    <n v="12"/>
    <n v="3"/>
    <n v="3"/>
    <n v="80"/>
    <n v="2"/>
    <n v="5"/>
    <n v="3"/>
    <n v="3"/>
    <n v="5"/>
    <n v="4"/>
    <x v="0"/>
    <x v="6"/>
  </r>
  <r>
    <x v="5"/>
    <x v="1"/>
    <x v="0"/>
    <n v="601"/>
    <x v="0"/>
    <x v="15"/>
    <n v="5"/>
    <x v="3"/>
    <n v="1"/>
    <n v="1446"/>
    <n v="4"/>
    <x v="1"/>
    <x v="28"/>
    <n v="3"/>
    <n v="2"/>
    <x v="0"/>
    <n v="4"/>
    <x v="1"/>
    <x v="965"/>
    <n v="23343"/>
    <n v="4"/>
    <s v="Y"/>
    <x v="1"/>
    <n v="12"/>
    <n v="3"/>
    <n v="3"/>
    <n v="80"/>
    <n v="1"/>
    <n v="7"/>
    <n v="3"/>
    <n v="2"/>
    <n v="4"/>
    <n v="3"/>
    <x v="0"/>
    <x v="6"/>
  </r>
  <r>
    <x v="13"/>
    <x v="1"/>
    <x v="0"/>
    <n v="401"/>
    <x v="1"/>
    <x v="0"/>
    <n v="3"/>
    <x v="0"/>
    <n v="1"/>
    <n v="1447"/>
    <n v="4"/>
    <x v="0"/>
    <x v="27"/>
    <n v="2"/>
    <n v="1"/>
    <x v="2"/>
    <n v="2"/>
    <x v="1"/>
    <x v="635"/>
    <n v="3708"/>
    <n v="5"/>
    <s v="Y"/>
    <x v="1"/>
    <n v="17"/>
    <n v="3"/>
    <n v="1"/>
    <n v="80"/>
    <n v="1"/>
    <n v="7"/>
    <n v="2"/>
    <n v="2"/>
    <n v="5"/>
    <n v="4"/>
    <x v="0"/>
    <x v="3"/>
  </r>
  <r>
    <x v="0"/>
    <x v="1"/>
    <x v="0"/>
    <n v="1283"/>
    <x v="1"/>
    <x v="12"/>
    <n v="5"/>
    <x v="2"/>
    <n v="1"/>
    <n v="1448"/>
    <n v="2"/>
    <x v="1"/>
    <x v="62"/>
    <n v="4"/>
    <n v="1"/>
    <x v="1"/>
    <n v="3"/>
    <x v="1"/>
    <x v="459"/>
    <n v="5561"/>
    <n v="2"/>
    <s v="Y"/>
    <x v="0"/>
    <n v="12"/>
    <n v="3"/>
    <n v="1"/>
    <n v="80"/>
    <n v="0"/>
    <n v="7"/>
    <n v="5"/>
    <n v="2"/>
    <n v="4"/>
    <n v="2"/>
    <x v="0"/>
    <x v="6"/>
  </r>
  <r>
    <x v="32"/>
    <x v="1"/>
    <x v="2"/>
    <n v="663"/>
    <x v="1"/>
    <x v="14"/>
    <n v="4"/>
    <x v="1"/>
    <n v="1"/>
    <n v="1449"/>
    <n v="3"/>
    <x v="1"/>
    <x v="6"/>
    <n v="3"/>
    <n v="2"/>
    <x v="2"/>
    <n v="3"/>
    <x v="2"/>
    <x v="966"/>
    <n v="23099"/>
    <n v="3"/>
    <s v="Y"/>
    <x v="1"/>
    <n v="11"/>
    <n v="3"/>
    <n v="3"/>
    <n v="80"/>
    <n v="2"/>
    <n v="11"/>
    <n v="2"/>
    <n v="4"/>
    <n v="8"/>
    <n v="7"/>
    <x v="0"/>
    <x v="1"/>
  </r>
  <r>
    <x v="12"/>
    <x v="1"/>
    <x v="0"/>
    <n v="326"/>
    <x v="0"/>
    <x v="1"/>
    <n v="2"/>
    <x v="0"/>
    <n v="1"/>
    <n v="1453"/>
    <n v="1"/>
    <x v="1"/>
    <x v="11"/>
    <n v="3"/>
    <n v="3"/>
    <x v="0"/>
    <n v="4"/>
    <x v="2"/>
    <x v="967"/>
    <n v="8386"/>
    <n v="1"/>
    <s v="Y"/>
    <x v="1"/>
    <n v="18"/>
    <n v="3"/>
    <n v="1"/>
    <n v="80"/>
    <n v="1"/>
    <n v="13"/>
    <n v="5"/>
    <n v="3"/>
    <n v="13"/>
    <n v="7"/>
    <x v="10"/>
    <x v="12"/>
  </r>
  <r>
    <x v="21"/>
    <x v="0"/>
    <x v="0"/>
    <n v="377"/>
    <x v="0"/>
    <x v="14"/>
    <n v="3"/>
    <x v="3"/>
    <n v="1"/>
    <n v="1457"/>
    <n v="1"/>
    <x v="1"/>
    <x v="48"/>
    <n v="3"/>
    <n v="3"/>
    <x v="0"/>
    <n v="4"/>
    <x v="2"/>
    <x v="61"/>
    <n v="15986"/>
    <n v="4"/>
    <s v="Y"/>
    <x v="1"/>
    <n v="11"/>
    <n v="3"/>
    <n v="1"/>
    <n v="80"/>
    <n v="1"/>
    <n v="28"/>
    <n v="1"/>
    <n v="4"/>
    <n v="7"/>
    <n v="7"/>
    <x v="5"/>
    <x v="6"/>
  </r>
  <r>
    <x v="22"/>
    <x v="0"/>
    <x v="2"/>
    <n v="592"/>
    <x v="1"/>
    <x v="2"/>
    <n v="3"/>
    <x v="0"/>
    <n v="1"/>
    <n v="1458"/>
    <n v="1"/>
    <x v="0"/>
    <x v="60"/>
    <n v="2"/>
    <n v="1"/>
    <x v="2"/>
    <n v="1"/>
    <x v="0"/>
    <x v="968"/>
    <n v="17181"/>
    <n v="2"/>
    <s v="Y"/>
    <x v="0"/>
    <n v="23"/>
    <n v="4"/>
    <n v="2"/>
    <n v="80"/>
    <n v="0"/>
    <n v="11"/>
    <n v="2"/>
    <n v="4"/>
    <n v="1"/>
    <n v="0"/>
    <x v="0"/>
    <x v="2"/>
  </r>
  <r>
    <x v="12"/>
    <x v="0"/>
    <x v="1"/>
    <n v="1445"/>
    <x v="1"/>
    <x v="0"/>
    <n v="5"/>
    <x v="0"/>
    <n v="1"/>
    <n v="1459"/>
    <n v="3"/>
    <x v="0"/>
    <x v="54"/>
    <n v="4"/>
    <n v="3"/>
    <x v="3"/>
    <n v="2"/>
    <x v="0"/>
    <x v="969"/>
    <n v="8931"/>
    <n v="1"/>
    <s v="Y"/>
    <x v="1"/>
    <n v="11"/>
    <n v="3"/>
    <n v="1"/>
    <n v="80"/>
    <n v="0"/>
    <n v="10"/>
    <n v="2"/>
    <n v="3"/>
    <n v="10"/>
    <n v="8"/>
    <x v="5"/>
    <x v="1"/>
  </r>
  <r>
    <x v="28"/>
    <x v="1"/>
    <x v="0"/>
    <n v="1038"/>
    <x v="1"/>
    <x v="25"/>
    <n v="3"/>
    <x v="2"/>
    <n v="1"/>
    <n v="1460"/>
    <n v="2"/>
    <x v="1"/>
    <x v="41"/>
    <n v="1"/>
    <n v="3"/>
    <x v="4"/>
    <n v="1"/>
    <x v="2"/>
    <x v="970"/>
    <n v="19863"/>
    <n v="2"/>
    <s v="Y"/>
    <x v="0"/>
    <n v="18"/>
    <n v="3"/>
    <n v="2"/>
    <n v="80"/>
    <n v="1"/>
    <n v="24"/>
    <n v="2"/>
    <n v="3"/>
    <n v="7"/>
    <n v="7"/>
    <x v="0"/>
    <x v="1"/>
  </r>
  <r>
    <x v="12"/>
    <x v="1"/>
    <x v="0"/>
    <n v="1398"/>
    <x v="2"/>
    <x v="1"/>
    <n v="2"/>
    <x v="2"/>
    <n v="1"/>
    <n v="1461"/>
    <n v="4"/>
    <x v="0"/>
    <x v="16"/>
    <n v="4"/>
    <n v="1"/>
    <x v="8"/>
    <n v="2"/>
    <x v="0"/>
    <x v="971"/>
    <n v="24609"/>
    <n v="9"/>
    <s v="Y"/>
    <x v="1"/>
    <n v="18"/>
    <n v="3"/>
    <n v="4"/>
    <n v="80"/>
    <n v="0"/>
    <n v="8"/>
    <n v="3"/>
    <n v="3"/>
    <n v="3"/>
    <n v="2"/>
    <x v="0"/>
    <x v="3"/>
  </r>
  <r>
    <x v="12"/>
    <x v="0"/>
    <x v="1"/>
    <n v="523"/>
    <x v="1"/>
    <x v="2"/>
    <n v="3"/>
    <x v="0"/>
    <n v="1"/>
    <n v="1464"/>
    <n v="2"/>
    <x v="1"/>
    <x v="0"/>
    <n v="3"/>
    <n v="1"/>
    <x v="2"/>
    <n v="4"/>
    <x v="1"/>
    <x v="972"/>
    <n v="21081"/>
    <n v="6"/>
    <s v="Y"/>
    <x v="0"/>
    <n v="13"/>
    <n v="3"/>
    <n v="3"/>
    <n v="80"/>
    <n v="1"/>
    <n v="7"/>
    <n v="2"/>
    <n v="1"/>
    <n v="2"/>
    <n v="2"/>
    <x v="3"/>
    <x v="3"/>
  </r>
  <r>
    <x v="28"/>
    <x v="1"/>
    <x v="0"/>
    <n v="1448"/>
    <x v="1"/>
    <x v="22"/>
    <n v="3"/>
    <x v="4"/>
    <n v="1"/>
    <n v="1465"/>
    <n v="2"/>
    <x v="1"/>
    <x v="46"/>
    <n v="3"/>
    <n v="3"/>
    <x v="3"/>
    <n v="4"/>
    <x v="1"/>
    <x v="973"/>
    <n v="14720"/>
    <n v="4"/>
    <s v="Y"/>
    <x v="0"/>
    <n v="18"/>
    <n v="3"/>
    <n v="4"/>
    <n v="80"/>
    <n v="2"/>
    <n v="10"/>
    <n v="4"/>
    <n v="4"/>
    <n v="3"/>
    <n v="1"/>
    <x v="1"/>
    <x v="3"/>
  </r>
  <r>
    <x v="26"/>
    <x v="1"/>
    <x v="0"/>
    <n v="1221"/>
    <x v="0"/>
    <x v="15"/>
    <n v="3"/>
    <x v="3"/>
    <n v="1"/>
    <n v="1466"/>
    <n v="3"/>
    <x v="1"/>
    <x v="16"/>
    <n v="3"/>
    <n v="2"/>
    <x v="0"/>
    <n v="1"/>
    <x v="2"/>
    <x v="974"/>
    <n v="24795"/>
    <n v="4"/>
    <s v="Y"/>
    <x v="1"/>
    <n v="11"/>
    <n v="3"/>
    <n v="1"/>
    <n v="80"/>
    <n v="3"/>
    <n v="15"/>
    <n v="3"/>
    <n v="3"/>
    <n v="2"/>
    <n v="2"/>
    <x v="3"/>
    <x v="3"/>
  </r>
  <r>
    <x v="13"/>
    <x v="0"/>
    <x v="0"/>
    <n v="1107"/>
    <x v="2"/>
    <x v="14"/>
    <n v="4"/>
    <x v="4"/>
    <n v="1"/>
    <n v="1467"/>
    <n v="1"/>
    <x v="0"/>
    <x v="48"/>
    <n v="3"/>
    <n v="1"/>
    <x v="8"/>
    <n v="3"/>
    <x v="1"/>
    <x v="975"/>
    <n v="3072"/>
    <n v="1"/>
    <s v="Y"/>
    <x v="1"/>
    <n v="15"/>
    <n v="3"/>
    <n v="4"/>
    <n v="80"/>
    <n v="0"/>
    <n v="2"/>
    <n v="0"/>
    <n v="3"/>
    <n v="2"/>
    <n v="2"/>
    <x v="3"/>
    <x v="3"/>
  </r>
  <r>
    <x v="32"/>
    <x v="1"/>
    <x v="2"/>
    <n v="218"/>
    <x v="1"/>
    <x v="1"/>
    <n v="1"/>
    <x v="2"/>
    <n v="1"/>
    <n v="1468"/>
    <n v="4"/>
    <x v="1"/>
    <x v="46"/>
    <n v="2"/>
    <n v="3"/>
    <x v="7"/>
    <n v="2"/>
    <x v="2"/>
    <x v="976"/>
    <n v="25178"/>
    <n v="2"/>
    <s v="Y"/>
    <x v="1"/>
    <n v="11"/>
    <n v="3"/>
    <n v="3"/>
    <n v="80"/>
    <n v="1"/>
    <n v="16"/>
    <n v="5"/>
    <n v="3"/>
    <n v="9"/>
    <n v="8"/>
    <x v="5"/>
    <x v="5"/>
  </r>
  <r>
    <x v="14"/>
    <x v="1"/>
    <x v="0"/>
    <n v="866"/>
    <x v="0"/>
    <x v="12"/>
    <n v="3"/>
    <x v="2"/>
    <n v="1"/>
    <n v="1469"/>
    <n v="4"/>
    <x v="1"/>
    <x v="9"/>
    <n v="3"/>
    <n v="2"/>
    <x v="0"/>
    <n v="1"/>
    <x v="0"/>
    <x v="977"/>
    <n v="23490"/>
    <n v="0"/>
    <s v="Y"/>
    <x v="1"/>
    <n v="18"/>
    <n v="3"/>
    <n v="4"/>
    <n v="80"/>
    <n v="0"/>
    <n v="6"/>
    <n v="4"/>
    <n v="3"/>
    <n v="5"/>
    <n v="4"/>
    <x v="1"/>
    <x v="6"/>
  </r>
  <r>
    <x v="20"/>
    <x v="1"/>
    <x v="2"/>
    <n v="981"/>
    <x v="1"/>
    <x v="12"/>
    <n v="3"/>
    <x v="0"/>
    <n v="1"/>
    <n v="1471"/>
    <n v="3"/>
    <x v="1"/>
    <x v="62"/>
    <n v="2"/>
    <n v="1"/>
    <x v="2"/>
    <n v="3"/>
    <x v="0"/>
    <x v="612"/>
    <n v="7973"/>
    <n v="3"/>
    <s v="Y"/>
    <x v="1"/>
    <n v="14"/>
    <n v="3"/>
    <n v="4"/>
    <n v="80"/>
    <n v="0"/>
    <n v="7"/>
    <n v="5"/>
    <n v="3"/>
    <n v="5"/>
    <n v="2"/>
    <x v="0"/>
    <x v="6"/>
  </r>
  <r>
    <x v="16"/>
    <x v="1"/>
    <x v="0"/>
    <n v="447"/>
    <x v="1"/>
    <x v="2"/>
    <n v="3"/>
    <x v="2"/>
    <n v="1"/>
    <n v="1472"/>
    <n v="4"/>
    <x v="1"/>
    <x v="56"/>
    <n v="4"/>
    <n v="4"/>
    <x v="7"/>
    <n v="2"/>
    <x v="0"/>
    <x v="978"/>
    <n v="19764"/>
    <n v="4"/>
    <s v="Y"/>
    <x v="1"/>
    <n v="12"/>
    <n v="3"/>
    <n v="2"/>
    <n v="80"/>
    <n v="0"/>
    <n v="35"/>
    <n v="2"/>
    <n v="2"/>
    <n v="9"/>
    <n v="8"/>
    <x v="6"/>
    <x v="5"/>
  </r>
  <r>
    <x v="1"/>
    <x v="1"/>
    <x v="0"/>
    <n v="1495"/>
    <x v="1"/>
    <x v="12"/>
    <n v="4"/>
    <x v="4"/>
    <n v="1"/>
    <n v="1473"/>
    <n v="1"/>
    <x v="1"/>
    <x v="16"/>
    <n v="3"/>
    <n v="2"/>
    <x v="4"/>
    <n v="3"/>
    <x v="1"/>
    <x v="979"/>
    <n v="21534"/>
    <n v="2"/>
    <s v="Y"/>
    <x v="1"/>
    <n v="14"/>
    <n v="3"/>
    <n v="2"/>
    <n v="80"/>
    <n v="1"/>
    <n v="20"/>
    <n v="0"/>
    <n v="2"/>
    <n v="3"/>
    <n v="2"/>
    <x v="1"/>
    <x v="3"/>
  </r>
  <r>
    <x v="32"/>
    <x v="1"/>
    <x v="0"/>
    <n v="896"/>
    <x v="1"/>
    <x v="2"/>
    <n v="3"/>
    <x v="2"/>
    <n v="1"/>
    <n v="1474"/>
    <n v="3"/>
    <x v="1"/>
    <x v="67"/>
    <n v="3"/>
    <n v="1"/>
    <x v="1"/>
    <n v="3"/>
    <x v="2"/>
    <x v="980"/>
    <n v="8045"/>
    <n v="2"/>
    <s v="Y"/>
    <x v="1"/>
    <n v="14"/>
    <n v="3"/>
    <n v="3"/>
    <n v="80"/>
    <n v="1"/>
    <n v="8"/>
    <n v="3"/>
    <n v="4"/>
    <n v="3"/>
    <n v="1"/>
    <x v="1"/>
    <x v="3"/>
  </r>
  <r>
    <x v="20"/>
    <x v="1"/>
    <x v="0"/>
    <n v="1467"/>
    <x v="1"/>
    <x v="25"/>
    <n v="3"/>
    <x v="0"/>
    <n v="1"/>
    <n v="1475"/>
    <n v="4"/>
    <x v="1"/>
    <x v="10"/>
    <n v="3"/>
    <n v="1"/>
    <x v="1"/>
    <n v="2"/>
    <x v="0"/>
    <x v="959"/>
    <n v="21158"/>
    <n v="1"/>
    <s v="Y"/>
    <x v="1"/>
    <n v="13"/>
    <n v="3"/>
    <n v="3"/>
    <n v="80"/>
    <n v="0"/>
    <n v="6"/>
    <n v="3"/>
    <n v="2"/>
    <n v="5"/>
    <n v="2"/>
    <x v="1"/>
    <x v="6"/>
  </r>
  <r>
    <x v="3"/>
    <x v="1"/>
    <x v="1"/>
    <n v="430"/>
    <x v="0"/>
    <x v="15"/>
    <n v="3"/>
    <x v="2"/>
    <n v="1"/>
    <n v="1477"/>
    <n v="4"/>
    <x v="1"/>
    <x v="60"/>
    <n v="3"/>
    <n v="2"/>
    <x v="0"/>
    <n v="1"/>
    <x v="1"/>
    <x v="981"/>
    <n v="17456"/>
    <n v="0"/>
    <s v="Y"/>
    <x v="1"/>
    <n v="14"/>
    <n v="3"/>
    <n v="1"/>
    <n v="80"/>
    <n v="2"/>
    <n v="5"/>
    <n v="2"/>
    <n v="3"/>
    <n v="4"/>
    <n v="3"/>
    <x v="0"/>
    <x v="6"/>
  </r>
  <r>
    <x v="13"/>
    <x v="1"/>
    <x v="0"/>
    <n v="1326"/>
    <x v="0"/>
    <x v="3"/>
    <n v="3"/>
    <x v="1"/>
    <n v="1"/>
    <n v="1478"/>
    <n v="4"/>
    <x v="1"/>
    <x v="6"/>
    <n v="1"/>
    <n v="2"/>
    <x v="0"/>
    <n v="1"/>
    <x v="0"/>
    <x v="982"/>
    <n v="15891"/>
    <n v="3"/>
    <s v="Y"/>
    <x v="1"/>
    <n v="18"/>
    <n v="3"/>
    <n v="4"/>
    <n v="80"/>
    <n v="0"/>
    <n v="15"/>
    <n v="2"/>
    <n v="3"/>
    <n v="13"/>
    <n v="9"/>
    <x v="2"/>
    <x v="11"/>
  </r>
  <r>
    <x v="7"/>
    <x v="1"/>
    <x v="0"/>
    <n v="1358"/>
    <x v="0"/>
    <x v="7"/>
    <n v="1"/>
    <x v="0"/>
    <n v="1"/>
    <n v="1479"/>
    <n v="4"/>
    <x v="1"/>
    <x v="16"/>
    <n v="3"/>
    <n v="2"/>
    <x v="0"/>
    <n v="3"/>
    <x v="1"/>
    <x v="983"/>
    <n v="2939"/>
    <n v="8"/>
    <s v="Y"/>
    <x v="1"/>
    <n v="15"/>
    <n v="3"/>
    <n v="3"/>
    <n v="80"/>
    <n v="2"/>
    <n v="4"/>
    <n v="2"/>
    <n v="2"/>
    <n v="2"/>
    <n v="1"/>
    <x v="3"/>
    <x v="3"/>
  </r>
  <r>
    <x v="19"/>
    <x v="1"/>
    <x v="1"/>
    <n v="748"/>
    <x v="1"/>
    <x v="14"/>
    <n v="2"/>
    <x v="2"/>
    <n v="1"/>
    <n v="1480"/>
    <n v="1"/>
    <x v="0"/>
    <x v="69"/>
    <n v="3"/>
    <n v="1"/>
    <x v="2"/>
    <n v="4"/>
    <x v="0"/>
    <x v="984"/>
    <n v="16458"/>
    <n v="1"/>
    <s v="Y"/>
    <x v="1"/>
    <n v="13"/>
    <n v="3"/>
    <n v="3"/>
    <n v="80"/>
    <n v="0"/>
    <n v="12"/>
    <n v="3"/>
    <n v="3"/>
    <n v="12"/>
    <n v="9"/>
    <x v="8"/>
    <x v="5"/>
  </r>
  <r>
    <x v="20"/>
    <x v="1"/>
    <x v="1"/>
    <n v="383"/>
    <x v="0"/>
    <x v="0"/>
    <n v="5"/>
    <x v="3"/>
    <n v="1"/>
    <n v="1481"/>
    <n v="1"/>
    <x v="0"/>
    <x v="5"/>
    <n v="3"/>
    <n v="2"/>
    <x v="0"/>
    <n v="3"/>
    <x v="1"/>
    <x v="985"/>
    <n v="9282"/>
    <n v="7"/>
    <s v="Y"/>
    <x v="1"/>
    <n v="12"/>
    <n v="3"/>
    <n v="3"/>
    <n v="80"/>
    <n v="1"/>
    <n v="11"/>
    <n v="4"/>
    <n v="2"/>
    <n v="1"/>
    <n v="0"/>
    <x v="0"/>
    <x v="2"/>
  </r>
  <r>
    <x v="7"/>
    <x v="1"/>
    <x v="2"/>
    <n v="990"/>
    <x v="1"/>
    <x v="15"/>
    <n v="3"/>
    <x v="4"/>
    <n v="1"/>
    <n v="1482"/>
    <n v="3"/>
    <x v="1"/>
    <x v="51"/>
    <n v="3"/>
    <n v="1"/>
    <x v="1"/>
    <n v="3"/>
    <x v="2"/>
    <x v="986"/>
    <n v="7152"/>
    <n v="1"/>
    <s v="Y"/>
    <x v="1"/>
    <n v="13"/>
    <n v="3"/>
    <n v="2"/>
    <n v="80"/>
    <n v="2"/>
    <n v="1"/>
    <n v="2"/>
    <n v="2"/>
    <n v="1"/>
    <n v="0"/>
    <x v="0"/>
    <x v="2"/>
  </r>
  <r>
    <x v="38"/>
    <x v="1"/>
    <x v="0"/>
    <n v="405"/>
    <x v="1"/>
    <x v="0"/>
    <n v="2"/>
    <x v="0"/>
    <n v="1"/>
    <n v="1483"/>
    <n v="2"/>
    <x v="1"/>
    <x v="12"/>
    <n v="4"/>
    <n v="2"/>
    <x v="1"/>
    <n v="3"/>
    <x v="1"/>
    <x v="987"/>
    <n v="2721"/>
    <n v="0"/>
    <s v="Y"/>
    <x v="1"/>
    <n v="24"/>
    <n v="4"/>
    <n v="1"/>
    <n v="80"/>
    <n v="1"/>
    <n v="13"/>
    <n v="2"/>
    <n v="2"/>
    <n v="12"/>
    <n v="9"/>
    <x v="3"/>
    <x v="5"/>
  </r>
  <r>
    <x v="1"/>
    <x v="1"/>
    <x v="0"/>
    <n v="1490"/>
    <x v="1"/>
    <x v="15"/>
    <n v="4"/>
    <x v="0"/>
    <n v="1"/>
    <n v="1484"/>
    <n v="3"/>
    <x v="1"/>
    <x v="58"/>
    <n v="3"/>
    <n v="3"/>
    <x v="4"/>
    <n v="2"/>
    <x v="2"/>
    <x v="988"/>
    <n v="20948"/>
    <n v="3"/>
    <s v="Y"/>
    <x v="1"/>
    <n v="14"/>
    <n v="3"/>
    <n v="2"/>
    <n v="80"/>
    <n v="2"/>
    <n v="29"/>
    <n v="3"/>
    <n v="3"/>
    <n v="8"/>
    <n v="7"/>
    <x v="0"/>
    <x v="1"/>
  </r>
  <r>
    <x v="13"/>
    <x v="1"/>
    <x v="1"/>
    <n v="829"/>
    <x v="1"/>
    <x v="8"/>
    <n v="3"/>
    <x v="2"/>
    <n v="1"/>
    <n v="1485"/>
    <n v="2"/>
    <x v="1"/>
    <x v="36"/>
    <n v="3"/>
    <n v="4"/>
    <x v="7"/>
    <n v="1"/>
    <x v="2"/>
    <x v="989"/>
    <n v="11929"/>
    <n v="7"/>
    <s v="Y"/>
    <x v="1"/>
    <n v="14"/>
    <n v="3"/>
    <n v="4"/>
    <n v="80"/>
    <n v="2"/>
    <n v="16"/>
    <n v="3"/>
    <n v="2"/>
    <n v="14"/>
    <n v="8"/>
    <x v="7"/>
    <x v="12"/>
  </r>
  <r>
    <x v="14"/>
    <x v="0"/>
    <x v="1"/>
    <n v="1496"/>
    <x v="0"/>
    <x v="0"/>
    <n v="3"/>
    <x v="4"/>
    <n v="1"/>
    <n v="1486"/>
    <n v="1"/>
    <x v="1"/>
    <x v="2"/>
    <n v="3"/>
    <n v="1"/>
    <x v="6"/>
    <n v="3"/>
    <x v="1"/>
    <x v="3"/>
    <n v="15747"/>
    <n v="3"/>
    <s v="Y"/>
    <x v="1"/>
    <n v="15"/>
    <n v="3"/>
    <n v="4"/>
    <n v="80"/>
    <n v="1"/>
    <n v="5"/>
    <n v="3"/>
    <n v="4"/>
    <n v="3"/>
    <n v="2"/>
    <x v="1"/>
    <x v="3"/>
  </r>
  <r>
    <x v="11"/>
    <x v="0"/>
    <x v="1"/>
    <n v="115"/>
    <x v="0"/>
    <x v="28"/>
    <n v="3"/>
    <x v="4"/>
    <n v="1"/>
    <n v="1487"/>
    <n v="1"/>
    <x v="0"/>
    <x v="14"/>
    <n v="3"/>
    <n v="2"/>
    <x v="0"/>
    <n v="2"/>
    <x v="0"/>
    <x v="990"/>
    <n v="17485"/>
    <n v="5"/>
    <s v="Y"/>
    <x v="1"/>
    <n v="11"/>
    <n v="3"/>
    <n v="1"/>
    <n v="80"/>
    <n v="0"/>
    <n v="7"/>
    <n v="4"/>
    <n v="1"/>
    <n v="5"/>
    <n v="3"/>
    <x v="0"/>
    <x v="2"/>
  </r>
  <r>
    <x v="13"/>
    <x v="0"/>
    <x v="0"/>
    <n v="790"/>
    <x v="0"/>
    <x v="4"/>
    <n v="4"/>
    <x v="2"/>
    <n v="1"/>
    <n v="1489"/>
    <n v="1"/>
    <x v="0"/>
    <x v="4"/>
    <n v="2"/>
    <n v="2"/>
    <x v="0"/>
    <n v="2"/>
    <x v="0"/>
    <x v="991"/>
    <n v="7815"/>
    <n v="0"/>
    <s v="Y"/>
    <x v="0"/>
    <n v="23"/>
    <n v="4"/>
    <n v="3"/>
    <n v="80"/>
    <n v="0"/>
    <n v="16"/>
    <n v="2"/>
    <n v="4"/>
    <n v="15"/>
    <n v="9"/>
    <x v="13"/>
    <x v="13"/>
  </r>
  <r>
    <x v="10"/>
    <x v="1"/>
    <x v="0"/>
    <n v="660"/>
    <x v="0"/>
    <x v="15"/>
    <n v="1"/>
    <x v="0"/>
    <n v="1"/>
    <n v="1492"/>
    <n v="4"/>
    <x v="1"/>
    <x v="43"/>
    <n v="3"/>
    <n v="1"/>
    <x v="6"/>
    <n v="3"/>
    <x v="1"/>
    <x v="639"/>
    <n v="16192"/>
    <n v="1"/>
    <s v="Y"/>
    <x v="1"/>
    <n v="13"/>
    <n v="3"/>
    <n v="1"/>
    <n v="80"/>
    <n v="1"/>
    <n v="1"/>
    <n v="3"/>
    <n v="3"/>
    <n v="1"/>
    <n v="0"/>
    <x v="0"/>
    <x v="2"/>
  </r>
  <r>
    <x v="17"/>
    <x v="0"/>
    <x v="1"/>
    <n v="381"/>
    <x v="1"/>
    <x v="14"/>
    <n v="3"/>
    <x v="2"/>
    <n v="1"/>
    <n v="1494"/>
    <n v="2"/>
    <x v="1"/>
    <x v="66"/>
    <n v="3"/>
    <n v="1"/>
    <x v="2"/>
    <n v="1"/>
    <x v="0"/>
    <x v="992"/>
    <n v="16998"/>
    <n v="2"/>
    <s v="Y"/>
    <x v="0"/>
    <n v="11"/>
    <n v="3"/>
    <n v="3"/>
    <n v="80"/>
    <n v="0"/>
    <n v="4"/>
    <n v="2"/>
    <n v="2"/>
    <n v="0"/>
    <n v="0"/>
    <x v="0"/>
    <x v="2"/>
  </r>
  <r>
    <x v="17"/>
    <x v="1"/>
    <x v="2"/>
    <n v="830"/>
    <x v="0"/>
    <x v="28"/>
    <n v="2"/>
    <x v="0"/>
    <n v="1"/>
    <n v="1495"/>
    <n v="4"/>
    <x v="0"/>
    <x v="17"/>
    <n v="3"/>
    <n v="1"/>
    <x v="6"/>
    <n v="2"/>
    <x v="1"/>
    <x v="462"/>
    <n v="7103"/>
    <n v="1"/>
    <s v="Y"/>
    <x v="1"/>
    <n v="13"/>
    <n v="3"/>
    <n v="3"/>
    <n v="80"/>
    <n v="1"/>
    <n v="1"/>
    <n v="2"/>
    <n v="3"/>
    <n v="1"/>
    <n v="0"/>
    <x v="0"/>
    <x v="2"/>
  </r>
  <r>
    <x v="20"/>
    <x v="1"/>
    <x v="1"/>
    <n v="1193"/>
    <x v="1"/>
    <x v="2"/>
    <n v="1"/>
    <x v="2"/>
    <n v="1"/>
    <n v="1496"/>
    <n v="2"/>
    <x v="1"/>
    <x v="27"/>
    <n v="3"/>
    <n v="3"/>
    <x v="3"/>
    <n v="3"/>
    <x v="0"/>
    <x v="993"/>
    <n v="19719"/>
    <n v="5"/>
    <s v="Y"/>
    <x v="0"/>
    <n v="18"/>
    <n v="3"/>
    <n v="2"/>
    <n v="80"/>
    <n v="0"/>
    <n v="16"/>
    <n v="2"/>
    <n v="2"/>
    <n v="2"/>
    <n v="2"/>
    <x v="3"/>
    <x v="3"/>
  </r>
  <r>
    <x v="11"/>
    <x v="1"/>
    <x v="0"/>
    <n v="1246"/>
    <x v="0"/>
    <x v="10"/>
    <n v="3"/>
    <x v="0"/>
    <n v="1"/>
    <n v="1497"/>
    <n v="3"/>
    <x v="1"/>
    <x v="57"/>
    <n v="2"/>
    <n v="2"/>
    <x v="0"/>
    <n v="3"/>
    <x v="2"/>
    <x v="994"/>
    <n v="23757"/>
    <n v="1"/>
    <s v="Y"/>
    <x v="1"/>
    <n v="14"/>
    <n v="3"/>
    <n v="3"/>
    <n v="80"/>
    <n v="2"/>
    <n v="10"/>
    <n v="3"/>
    <n v="3"/>
    <n v="10"/>
    <n v="7"/>
    <x v="0"/>
    <x v="10"/>
  </r>
  <r>
    <x v="7"/>
    <x v="1"/>
    <x v="0"/>
    <n v="330"/>
    <x v="2"/>
    <x v="0"/>
    <n v="3"/>
    <x v="0"/>
    <n v="1"/>
    <n v="1499"/>
    <n v="3"/>
    <x v="1"/>
    <x v="55"/>
    <n v="3"/>
    <n v="1"/>
    <x v="8"/>
    <n v="3"/>
    <x v="2"/>
    <x v="995"/>
    <n v="15428"/>
    <n v="0"/>
    <s v="Y"/>
    <x v="1"/>
    <n v="21"/>
    <n v="4"/>
    <n v="1"/>
    <n v="80"/>
    <n v="1"/>
    <n v="6"/>
    <n v="3"/>
    <n v="4"/>
    <n v="5"/>
    <n v="3"/>
    <x v="1"/>
    <x v="6"/>
  </r>
  <r>
    <x v="27"/>
    <x v="1"/>
    <x v="0"/>
    <n v="1229"/>
    <x v="1"/>
    <x v="18"/>
    <n v="4"/>
    <x v="0"/>
    <n v="1"/>
    <n v="1501"/>
    <n v="4"/>
    <x v="1"/>
    <x v="37"/>
    <n v="3"/>
    <n v="2"/>
    <x v="4"/>
    <n v="3"/>
    <x v="1"/>
    <x v="996"/>
    <n v="16143"/>
    <n v="0"/>
    <s v="Y"/>
    <x v="0"/>
    <n v="16"/>
    <n v="3"/>
    <n v="2"/>
    <n v="80"/>
    <n v="0"/>
    <n v="4"/>
    <n v="2"/>
    <n v="3"/>
    <n v="3"/>
    <n v="2"/>
    <x v="1"/>
    <x v="3"/>
  </r>
  <r>
    <x v="3"/>
    <x v="1"/>
    <x v="0"/>
    <n v="1099"/>
    <x v="1"/>
    <x v="18"/>
    <n v="4"/>
    <x v="2"/>
    <n v="1"/>
    <n v="1502"/>
    <n v="1"/>
    <x v="0"/>
    <x v="19"/>
    <n v="2"/>
    <n v="1"/>
    <x v="2"/>
    <n v="2"/>
    <x v="1"/>
    <x v="997"/>
    <n v="8192"/>
    <n v="8"/>
    <s v="Y"/>
    <x v="1"/>
    <n v="11"/>
    <n v="3"/>
    <n v="4"/>
    <n v="80"/>
    <n v="0"/>
    <n v="8"/>
    <n v="5"/>
    <n v="3"/>
    <n v="5"/>
    <n v="4"/>
    <x v="0"/>
    <x v="3"/>
  </r>
  <r>
    <x v="40"/>
    <x v="1"/>
    <x v="0"/>
    <n v="571"/>
    <x v="0"/>
    <x v="24"/>
    <n v="3"/>
    <x v="2"/>
    <n v="1"/>
    <n v="1503"/>
    <n v="3"/>
    <x v="0"/>
    <x v="17"/>
    <n v="3"/>
    <n v="2"/>
    <x v="0"/>
    <n v="3"/>
    <x v="1"/>
    <x v="998"/>
    <n v="24200"/>
    <n v="3"/>
    <s v="Y"/>
    <x v="0"/>
    <n v="17"/>
    <n v="3"/>
    <n v="3"/>
    <n v="80"/>
    <n v="1"/>
    <n v="11"/>
    <n v="4"/>
    <n v="2"/>
    <n v="5"/>
    <n v="4"/>
    <x v="1"/>
    <x v="3"/>
  </r>
  <r>
    <x v="14"/>
    <x v="0"/>
    <x v="1"/>
    <n v="289"/>
    <x v="1"/>
    <x v="2"/>
    <n v="2"/>
    <x v="2"/>
    <n v="1"/>
    <n v="1504"/>
    <n v="3"/>
    <x v="1"/>
    <x v="70"/>
    <n v="2"/>
    <n v="1"/>
    <x v="2"/>
    <n v="1"/>
    <x v="0"/>
    <x v="999"/>
    <n v="5355"/>
    <n v="7"/>
    <s v="Y"/>
    <x v="1"/>
    <n v="11"/>
    <n v="3"/>
    <n v="3"/>
    <n v="80"/>
    <n v="0"/>
    <n v="8"/>
    <n v="2"/>
    <n v="2"/>
    <n v="0"/>
    <n v="0"/>
    <x v="0"/>
    <x v="2"/>
  </r>
  <r>
    <x v="14"/>
    <x v="1"/>
    <x v="0"/>
    <n v="1423"/>
    <x v="1"/>
    <x v="0"/>
    <n v="3"/>
    <x v="0"/>
    <n v="1"/>
    <n v="1506"/>
    <n v="1"/>
    <x v="1"/>
    <x v="23"/>
    <n v="2"/>
    <n v="1"/>
    <x v="1"/>
    <n v="3"/>
    <x v="2"/>
    <x v="1000"/>
    <n v="12530"/>
    <n v="1"/>
    <s v="Y"/>
    <x v="1"/>
    <n v="14"/>
    <n v="3"/>
    <n v="4"/>
    <n v="80"/>
    <n v="1"/>
    <n v="1"/>
    <n v="2"/>
    <n v="1"/>
    <n v="1"/>
    <n v="0"/>
    <x v="0"/>
    <x v="2"/>
  </r>
  <r>
    <x v="14"/>
    <x v="1"/>
    <x v="1"/>
    <n v="467"/>
    <x v="0"/>
    <x v="15"/>
    <n v="3"/>
    <x v="0"/>
    <n v="1"/>
    <n v="1507"/>
    <n v="3"/>
    <x v="1"/>
    <x v="46"/>
    <n v="3"/>
    <n v="2"/>
    <x v="0"/>
    <n v="1"/>
    <x v="0"/>
    <x v="249"/>
    <n v="11827"/>
    <n v="0"/>
    <s v="Y"/>
    <x v="1"/>
    <n v="14"/>
    <n v="3"/>
    <n v="4"/>
    <n v="80"/>
    <n v="0"/>
    <n v="5"/>
    <n v="5"/>
    <n v="3"/>
    <n v="4"/>
    <n v="2"/>
    <x v="1"/>
    <x v="6"/>
  </r>
  <r>
    <x v="1"/>
    <x v="1"/>
    <x v="0"/>
    <n v="271"/>
    <x v="1"/>
    <x v="3"/>
    <n v="2"/>
    <x v="2"/>
    <n v="1"/>
    <n v="1509"/>
    <n v="3"/>
    <x v="0"/>
    <x v="38"/>
    <n v="2"/>
    <n v="2"/>
    <x v="2"/>
    <n v="1"/>
    <x v="1"/>
    <x v="1001"/>
    <n v="23070"/>
    <n v="4"/>
    <s v="Y"/>
    <x v="1"/>
    <n v="25"/>
    <n v="4"/>
    <n v="1"/>
    <n v="80"/>
    <n v="1"/>
    <n v="10"/>
    <n v="3"/>
    <n v="3"/>
    <n v="3"/>
    <n v="2"/>
    <x v="1"/>
    <x v="3"/>
  </r>
  <r>
    <x v="11"/>
    <x v="1"/>
    <x v="1"/>
    <n v="410"/>
    <x v="1"/>
    <x v="2"/>
    <n v="1"/>
    <x v="0"/>
    <n v="1"/>
    <n v="1513"/>
    <n v="4"/>
    <x v="0"/>
    <x v="28"/>
    <n v="3"/>
    <n v="1"/>
    <x v="2"/>
    <n v="2"/>
    <x v="1"/>
    <x v="1002"/>
    <n v="4668"/>
    <n v="0"/>
    <s v="Y"/>
    <x v="1"/>
    <n v="13"/>
    <n v="3"/>
    <n v="3"/>
    <n v="80"/>
    <n v="3"/>
    <n v="4"/>
    <n v="3"/>
    <n v="3"/>
    <n v="3"/>
    <n v="2"/>
    <x v="0"/>
    <x v="3"/>
  </r>
  <r>
    <x v="14"/>
    <x v="1"/>
    <x v="0"/>
    <n v="1083"/>
    <x v="1"/>
    <x v="22"/>
    <n v="1"/>
    <x v="0"/>
    <n v="1"/>
    <n v="1514"/>
    <n v="3"/>
    <x v="1"/>
    <x v="16"/>
    <n v="1"/>
    <n v="2"/>
    <x v="3"/>
    <n v="2"/>
    <x v="1"/>
    <x v="1003"/>
    <n v="3173"/>
    <n v="1"/>
    <s v="Y"/>
    <x v="1"/>
    <n v="14"/>
    <n v="3"/>
    <n v="2"/>
    <n v="80"/>
    <n v="2"/>
    <n v="8"/>
    <n v="2"/>
    <n v="2"/>
    <n v="8"/>
    <n v="6"/>
    <x v="1"/>
    <x v="1"/>
  </r>
  <r>
    <x v="3"/>
    <x v="1"/>
    <x v="0"/>
    <n v="516"/>
    <x v="1"/>
    <x v="1"/>
    <n v="5"/>
    <x v="0"/>
    <n v="1"/>
    <n v="1515"/>
    <n v="4"/>
    <x v="1"/>
    <x v="68"/>
    <n v="3"/>
    <n v="2"/>
    <x v="4"/>
    <n v="3"/>
    <x v="0"/>
    <x v="1004"/>
    <n v="22049"/>
    <n v="2"/>
    <s v="Y"/>
    <x v="0"/>
    <n v="17"/>
    <n v="3"/>
    <n v="1"/>
    <n v="80"/>
    <n v="0"/>
    <n v="14"/>
    <n v="6"/>
    <n v="3"/>
    <n v="0"/>
    <n v="0"/>
    <x v="0"/>
    <x v="2"/>
  </r>
  <r>
    <x v="5"/>
    <x v="1"/>
    <x v="0"/>
    <n v="495"/>
    <x v="1"/>
    <x v="17"/>
    <n v="3"/>
    <x v="2"/>
    <n v="1"/>
    <n v="1516"/>
    <n v="3"/>
    <x v="1"/>
    <x v="51"/>
    <n v="3"/>
    <n v="3"/>
    <x v="5"/>
    <n v="4"/>
    <x v="0"/>
    <x v="1005"/>
    <n v="21072"/>
    <n v="2"/>
    <s v="Y"/>
    <x v="1"/>
    <n v="25"/>
    <n v="4"/>
    <n v="2"/>
    <n v="80"/>
    <n v="0"/>
    <n v="10"/>
    <n v="5"/>
    <n v="4"/>
    <n v="5"/>
    <n v="2"/>
    <x v="0"/>
    <x v="2"/>
  </r>
  <r>
    <x v="33"/>
    <x v="1"/>
    <x v="1"/>
    <n v="1050"/>
    <x v="1"/>
    <x v="13"/>
    <n v="4"/>
    <x v="2"/>
    <n v="1"/>
    <n v="1520"/>
    <n v="2"/>
    <x v="0"/>
    <x v="44"/>
    <n v="3"/>
    <n v="4"/>
    <x v="5"/>
    <n v="4"/>
    <x v="2"/>
    <x v="1006"/>
    <n v="24456"/>
    <n v="3"/>
    <s v="Y"/>
    <x v="1"/>
    <n v="20"/>
    <n v="4"/>
    <n v="1"/>
    <n v="80"/>
    <n v="1"/>
    <n v="26"/>
    <n v="2"/>
    <n v="3"/>
    <n v="14"/>
    <n v="9"/>
    <x v="1"/>
    <x v="11"/>
  </r>
  <r>
    <x v="11"/>
    <x v="0"/>
    <x v="0"/>
    <n v="224"/>
    <x v="1"/>
    <x v="0"/>
    <n v="4"/>
    <x v="4"/>
    <n v="1"/>
    <n v="1522"/>
    <n v="1"/>
    <x v="1"/>
    <x v="54"/>
    <n v="2"/>
    <n v="1"/>
    <x v="1"/>
    <n v="1"/>
    <x v="0"/>
    <x v="898"/>
    <n v="7568"/>
    <n v="6"/>
    <s v="Y"/>
    <x v="1"/>
    <n v="13"/>
    <n v="3"/>
    <n v="3"/>
    <n v="80"/>
    <n v="0"/>
    <n v="11"/>
    <n v="2"/>
    <n v="1"/>
    <n v="9"/>
    <n v="7"/>
    <x v="0"/>
    <x v="1"/>
  </r>
  <r>
    <x v="20"/>
    <x v="1"/>
    <x v="0"/>
    <n v="136"/>
    <x v="1"/>
    <x v="26"/>
    <n v="3"/>
    <x v="0"/>
    <n v="1"/>
    <n v="1523"/>
    <n v="4"/>
    <x v="1"/>
    <x v="47"/>
    <n v="3"/>
    <n v="4"/>
    <x v="7"/>
    <n v="1"/>
    <x v="1"/>
    <x v="1007"/>
    <n v="22074"/>
    <n v="3"/>
    <s v="Y"/>
    <x v="1"/>
    <n v="13"/>
    <n v="3"/>
    <n v="3"/>
    <n v="80"/>
    <n v="1"/>
    <n v="24"/>
    <n v="1"/>
    <n v="4"/>
    <n v="20"/>
    <n v="6"/>
    <x v="15"/>
    <x v="8"/>
  </r>
  <r>
    <x v="22"/>
    <x v="1"/>
    <x v="0"/>
    <n v="1089"/>
    <x v="1"/>
    <x v="16"/>
    <n v="3"/>
    <x v="0"/>
    <n v="1"/>
    <n v="1525"/>
    <n v="2"/>
    <x v="0"/>
    <x v="47"/>
    <n v="3"/>
    <n v="3"/>
    <x v="3"/>
    <n v="2"/>
    <x v="0"/>
    <x v="1008"/>
    <n v="9150"/>
    <n v="4"/>
    <s v="Y"/>
    <x v="1"/>
    <n v="18"/>
    <n v="3"/>
    <n v="4"/>
    <n v="80"/>
    <n v="0"/>
    <n v="9"/>
    <n v="3"/>
    <n v="3"/>
    <n v="2"/>
    <n v="0"/>
    <x v="3"/>
    <x v="3"/>
  </r>
  <r>
    <x v="21"/>
    <x v="1"/>
    <x v="0"/>
    <n v="228"/>
    <x v="0"/>
    <x v="3"/>
    <n v="3"/>
    <x v="0"/>
    <n v="1"/>
    <n v="1527"/>
    <n v="3"/>
    <x v="0"/>
    <x v="14"/>
    <n v="3"/>
    <n v="4"/>
    <x v="5"/>
    <n v="2"/>
    <x v="1"/>
    <x v="1009"/>
    <n v="11380"/>
    <n v="8"/>
    <s v="Y"/>
    <x v="1"/>
    <n v="12"/>
    <n v="3"/>
    <n v="4"/>
    <n v="80"/>
    <n v="1"/>
    <n v="23"/>
    <n v="2"/>
    <n v="4"/>
    <n v="13"/>
    <n v="12"/>
    <x v="8"/>
    <x v="9"/>
  </r>
  <r>
    <x v="10"/>
    <x v="1"/>
    <x v="0"/>
    <n v="1029"/>
    <x v="1"/>
    <x v="7"/>
    <n v="3"/>
    <x v="0"/>
    <n v="1"/>
    <n v="1529"/>
    <n v="4"/>
    <x v="0"/>
    <x v="59"/>
    <n v="2"/>
    <n v="3"/>
    <x v="4"/>
    <n v="2"/>
    <x v="0"/>
    <x v="1010"/>
    <n v="21195"/>
    <n v="1"/>
    <s v="Y"/>
    <x v="1"/>
    <n v="19"/>
    <n v="3"/>
    <n v="4"/>
    <n v="80"/>
    <n v="0"/>
    <n v="11"/>
    <n v="3"/>
    <n v="1"/>
    <n v="11"/>
    <n v="8"/>
    <x v="2"/>
    <x v="6"/>
  </r>
  <r>
    <x v="30"/>
    <x v="1"/>
    <x v="0"/>
    <n v="507"/>
    <x v="1"/>
    <x v="25"/>
    <n v="1"/>
    <x v="0"/>
    <n v="1"/>
    <n v="1533"/>
    <n v="1"/>
    <x v="1"/>
    <x v="28"/>
    <n v="3"/>
    <n v="2"/>
    <x v="2"/>
    <n v="3"/>
    <x v="0"/>
    <x v="1011"/>
    <n v="24812"/>
    <n v="0"/>
    <s v="Y"/>
    <x v="1"/>
    <n v="14"/>
    <n v="3"/>
    <n v="2"/>
    <n v="80"/>
    <n v="0"/>
    <n v="5"/>
    <n v="2"/>
    <n v="3"/>
    <n v="4"/>
    <n v="3"/>
    <x v="1"/>
    <x v="3"/>
  </r>
  <r>
    <x v="32"/>
    <x v="0"/>
    <x v="0"/>
    <n v="676"/>
    <x v="1"/>
    <x v="14"/>
    <n v="4"/>
    <x v="0"/>
    <n v="1"/>
    <n v="1534"/>
    <n v="4"/>
    <x v="1"/>
    <x v="27"/>
    <n v="3"/>
    <n v="1"/>
    <x v="2"/>
    <n v="1"/>
    <x v="0"/>
    <x v="1012"/>
    <n v="21831"/>
    <n v="3"/>
    <s v="Y"/>
    <x v="1"/>
    <n v="14"/>
    <n v="3"/>
    <n v="2"/>
    <n v="80"/>
    <n v="0"/>
    <n v="15"/>
    <n v="3"/>
    <n v="1"/>
    <n v="5"/>
    <n v="4"/>
    <x v="1"/>
    <x v="2"/>
  </r>
  <r>
    <x v="13"/>
    <x v="1"/>
    <x v="0"/>
    <n v="971"/>
    <x v="0"/>
    <x v="0"/>
    <n v="3"/>
    <x v="4"/>
    <n v="1"/>
    <n v="1535"/>
    <n v="4"/>
    <x v="1"/>
    <x v="51"/>
    <n v="2"/>
    <n v="3"/>
    <x v="0"/>
    <n v="3"/>
    <x v="1"/>
    <x v="1013"/>
    <n v="12288"/>
    <n v="1"/>
    <s v="Y"/>
    <x v="0"/>
    <n v="14"/>
    <n v="3"/>
    <n v="4"/>
    <n v="80"/>
    <n v="0"/>
    <n v="10"/>
    <n v="3"/>
    <n v="3"/>
    <n v="10"/>
    <n v="9"/>
    <x v="6"/>
    <x v="4"/>
  </r>
  <r>
    <x v="12"/>
    <x v="0"/>
    <x v="1"/>
    <n v="561"/>
    <x v="1"/>
    <x v="3"/>
    <n v="3"/>
    <x v="0"/>
    <n v="1"/>
    <n v="1537"/>
    <n v="4"/>
    <x v="0"/>
    <x v="30"/>
    <n v="3"/>
    <n v="1"/>
    <x v="1"/>
    <n v="3"/>
    <x v="0"/>
    <x v="1014"/>
    <n v="4156"/>
    <n v="1"/>
    <s v="Y"/>
    <x v="1"/>
    <n v="12"/>
    <n v="3"/>
    <n v="1"/>
    <n v="80"/>
    <n v="0"/>
    <n v="7"/>
    <n v="2"/>
    <n v="1"/>
    <n v="7"/>
    <n v="2"/>
    <x v="4"/>
    <x v="1"/>
  </r>
  <r>
    <x v="24"/>
    <x v="1"/>
    <x v="1"/>
    <n v="333"/>
    <x v="1"/>
    <x v="23"/>
    <n v="5"/>
    <x v="2"/>
    <n v="1"/>
    <n v="1539"/>
    <n v="3"/>
    <x v="1"/>
    <x v="64"/>
    <n v="1"/>
    <n v="4"/>
    <x v="7"/>
    <n v="4"/>
    <x v="0"/>
    <x v="1015"/>
    <n v="24450"/>
    <n v="1"/>
    <s v="Y"/>
    <x v="0"/>
    <n v="13"/>
    <n v="3"/>
    <n v="4"/>
    <n v="80"/>
    <n v="0"/>
    <n v="32"/>
    <n v="2"/>
    <n v="3"/>
    <n v="32"/>
    <n v="6"/>
    <x v="11"/>
    <x v="12"/>
  </r>
  <r>
    <x v="13"/>
    <x v="1"/>
    <x v="0"/>
    <n v="1440"/>
    <x v="0"/>
    <x v="15"/>
    <n v="2"/>
    <x v="4"/>
    <n v="1"/>
    <n v="1541"/>
    <n v="2"/>
    <x v="1"/>
    <x v="46"/>
    <n v="3"/>
    <n v="1"/>
    <x v="6"/>
    <n v="3"/>
    <x v="1"/>
    <x v="1016"/>
    <n v="4944"/>
    <n v="0"/>
    <s v="Y"/>
    <x v="0"/>
    <n v="25"/>
    <n v="4"/>
    <n v="2"/>
    <n v="80"/>
    <n v="1"/>
    <n v="12"/>
    <n v="4"/>
    <n v="3"/>
    <n v="11"/>
    <n v="10"/>
    <x v="8"/>
    <x v="1"/>
  </r>
  <r>
    <x v="19"/>
    <x v="1"/>
    <x v="0"/>
    <n v="1210"/>
    <x v="1"/>
    <x v="2"/>
    <n v="3"/>
    <x v="2"/>
    <n v="1"/>
    <n v="1542"/>
    <n v="3"/>
    <x v="1"/>
    <x v="67"/>
    <n v="2"/>
    <n v="1"/>
    <x v="2"/>
    <n v="2"/>
    <x v="1"/>
    <x v="1017"/>
    <n v="24052"/>
    <n v="4"/>
    <s v="Y"/>
    <x v="1"/>
    <n v="14"/>
    <n v="3"/>
    <n v="2"/>
    <n v="80"/>
    <n v="1"/>
    <n v="4"/>
    <n v="3"/>
    <n v="3"/>
    <n v="1"/>
    <n v="0"/>
    <x v="0"/>
    <x v="2"/>
  </r>
  <r>
    <x v="2"/>
    <x v="1"/>
    <x v="0"/>
    <n v="674"/>
    <x v="1"/>
    <x v="28"/>
    <n v="3"/>
    <x v="2"/>
    <n v="1"/>
    <n v="1543"/>
    <n v="1"/>
    <x v="1"/>
    <x v="35"/>
    <n v="3"/>
    <n v="2"/>
    <x v="1"/>
    <n v="4"/>
    <x v="1"/>
    <x v="1018"/>
    <n v="3031"/>
    <n v="1"/>
    <s v="Y"/>
    <x v="1"/>
    <n v="17"/>
    <n v="3"/>
    <n v="1"/>
    <n v="80"/>
    <n v="0"/>
    <n v="10"/>
    <n v="2"/>
    <n v="3"/>
    <n v="10"/>
    <n v="8"/>
    <x v="2"/>
    <x v="1"/>
  </r>
  <r>
    <x v="11"/>
    <x v="1"/>
    <x v="0"/>
    <n v="441"/>
    <x v="1"/>
    <x v="1"/>
    <n v="1"/>
    <x v="1"/>
    <n v="1"/>
    <n v="1544"/>
    <n v="3"/>
    <x v="0"/>
    <x v="56"/>
    <n v="1"/>
    <n v="2"/>
    <x v="4"/>
    <n v="1"/>
    <x v="1"/>
    <x v="1019"/>
    <n v="7288"/>
    <n v="3"/>
    <s v="Y"/>
    <x v="1"/>
    <n v="13"/>
    <n v="3"/>
    <n v="3"/>
    <n v="80"/>
    <n v="1"/>
    <n v="9"/>
    <n v="3"/>
    <n v="3"/>
    <n v="7"/>
    <n v="7"/>
    <x v="0"/>
    <x v="1"/>
  </r>
  <r>
    <x v="3"/>
    <x v="1"/>
    <x v="0"/>
    <n v="575"/>
    <x v="1"/>
    <x v="19"/>
    <n v="3"/>
    <x v="0"/>
    <n v="1"/>
    <n v="1545"/>
    <n v="4"/>
    <x v="1"/>
    <x v="8"/>
    <n v="2"/>
    <n v="2"/>
    <x v="3"/>
    <n v="2"/>
    <x v="0"/>
    <x v="1020"/>
    <n v="24152"/>
    <n v="1"/>
    <s v="Y"/>
    <x v="1"/>
    <n v="13"/>
    <n v="3"/>
    <n v="4"/>
    <n v="80"/>
    <n v="0"/>
    <n v="5"/>
    <n v="2"/>
    <n v="3"/>
    <n v="5"/>
    <n v="3"/>
    <x v="0"/>
    <x v="3"/>
  </r>
  <r>
    <x v="28"/>
    <x v="1"/>
    <x v="0"/>
    <n v="950"/>
    <x v="1"/>
    <x v="26"/>
    <n v="3"/>
    <x v="4"/>
    <n v="1"/>
    <n v="1546"/>
    <n v="4"/>
    <x v="1"/>
    <x v="28"/>
    <n v="3"/>
    <n v="1"/>
    <x v="1"/>
    <n v="4"/>
    <x v="1"/>
    <x v="685"/>
    <n v="4585"/>
    <n v="4"/>
    <s v="Y"/>
    <x v="1"/>
    <n v="20"/>
    <n v="4"/>
    <n v="4"/>
    <n v="80"/>
    <n v="1"/>
    <n v="8"/>
    <n v="3"/>
    <n v="3"/>
    <n v="5"/>
    <n v="4"/>
    <x v="0"/>
    <x v="6"/>
  </r>
  <r>
    <x v="19"/>
    <x v="1"/>
    <x v="1"/>
    <n v="288"/>
    <x v="1"/>
    <x v="2"/>
    <n v="3"/>
    <x v="0"/>
    <n v="1"/>
    <n v="1547"/>
    <n v="4"/>
    <x v="1"/>
    <x v="4"/>
    <n v="3"/>
    <n v="3"/>
    <x v="4"/>
    <n v="4"/>
    <x v="1"/>
    <x v="1021"/>
    <n v="18611"/>
    <n v="2"/>
    <s v="Y"/>
    <x v="0"/>
    <n v="14"/>
    <n v="3"/>
    <n v="3"/>
    <n v="80"/>
    <n v="1"/>
    <n v="24"/>
    <n v="3"/>
    <n v="1"/>
    <n v="20"/>
    <n v="8"/>
    <x v="11"/>
    <x v="12"/>
  </r>
  <r>
    <x v="32"/>
    <x v="1"/>
    <x v="0"/>
    <n v="1342"/>
    <x v="0"/>
    <x v="14"/>
    <n v="2"/>
    <x v="2"/>
    <n v="1"/>
    <n v="1548"/>
    <n v="1"/>
    <x v="1"/>
    <x v="35"/>
    <n v="3"/>
    <n v="2"/>
    <x v="0"/>
    <n v="1"/>
    <x v="1"/>
    <x v="67"/>
    <n v="19345"/>
    <n v="0"/>
    <s v="Y"/>
    <x v="1"/>
    <n v="12"/>
    <n v="3"/>
    <n v="4"/>
    <n v="80"/>
    <n v="0"/>
    <n v="9"/>
    <n v="5"/>
    <n v="4"/>
    <n v="8"/>
    <n v="4"/>
    <x v="4"/>
    <x v="9"/>
  </r>
  <r>
    <x v="3"/>
    <x v="1"/>
    <x v="0"/>
    <n v="589"/>
    <x v="1"/>
    <x v="26"/>
    <n v="4"/>
    <x v="0"/>
    <n v="1"/>
    <n v="1549"/>
    <n v="2"/>
    <x v="1"/>
    <x v="5"/>
    <n v="3"/>
    <n v="2"/>
    <x v="2"/>
    <n v="3"/>
    <x v="1"/>
    <x v="1022"/>
    <n v="22949"/>
    <n v="1"/>
    <s v="Y"/>
    <x v="0"/>
    <n v="12"/>
    <n v="3"/>
    <n v="2"/>
    <n v="80"/>
    <n v="1"/>
    <n v="15"/>
    <n v="3"/>
    <n v="3"/>
    <n v="15"/>
    <n v="14"/>
    <x v="8"/>
    <x v="1"/>
  </r>
  <r>
    <x v="32"/>
    <x v="1"/>
    <x v="0"/>
    <n v="898"/>
    <x v="2"/>
    <x v="16"/>
    <n v="2"/>
    <x v="2"/>
    <n v="1"/>
    <n v="1550"/>
    <n v="3"/>
    <x v="1"/>
    <x v="70"/>
    <n v="3"/>
    <n v="4"/>
    <x v="5"/>
    <n v="4"/>
    <x v="0"/>
    <x v="1023"/>
    <n v="17381"/>
    <n v="1"/>
    <s v="Y"/>
    <x v="0"/>
    <n v="21"/>
    <n v="4"/>
    <n v="4"/>
    <n v="80"/>
    <n v="0"/>
    <n v="21"/>
    <n v="2"/>
    <n v="3"/>
    <n v="21"/>
    <n v="7"/>
    <x v="4"/>
    <x v="1"/>
  </r>
  <r>
    <x v="17"/>
    <x v="1"/>
    <x v="0"/>
    <n v="350"/>
    <x v="1"/>
    <x v="11"/>
    <n v="2"/>
    <x v="4"/>
    <n v="1"/>
    <n v="1551"/>
    <n v="3"/>
    <x v="1"/>
    <x v="42"/>
    <n v="2"/>
    <n v="1"/>
    <x v="2"/>
    <n v="1"/>
    <x v="2"/>
    <x v="1024"/>
    <n v="10036"/>
    <n v="0"/>
    <s v="Y"/>
    <x v="1"/>
    <n v="14"/>
    <n v="3"/>
    <n v="2"/>
    <n v="80"/>
    <n v="3"/>
    <n v="2"/>
    <n v="3"/>
    <n v="3"/>
    <n v="1"/>
    <n v="1"/>
    <x v="0"/>
    <x v="2"/>
  </r>
  <r>
    <x v="32"/>
    <x v="1"/>
    <x v="2"/>
    <n v="1142"/>
    <x v="1"/>
    <x v="1"/>
    <n v="2"/>
    <x v="0"/>
    <n v="1"/>
    <n v="1552"/>
    <n v="4"/>
    <x v="1"/>
    <x v="23"/>
    <n v="3"/>
    <n v="2"/>
    <x v="4"/>
    <n v="4"/>
    <x v="2"/>
    <x v="1025"/>
    <n v="8841"/>
    <n v="3"/>
    <s v="Y"/>
    <x v="0"/>
    <n v="18"/>
    <n v="3"/>
    <n v="3"/>
    <n v="80"/>
    <n v="0"/>
    <n v="8"/>
    <n v="2"/>
    <n v="3"/>
    <n v="2"/>
    <n v="2"/>
    <x v="3"/>
    <x v="3"/>
  </r>
  <r>
    <x v="28"/>
    <x v="1"/>
    <x v="0"/>
    <n v="538"/>
    <x v="1"/>
    <x v="0"/>
    <n v="4"/>
    <x v="4"/>
    <n v="1"/>
    <n v="1553"/>
    <n v="1"/>
    <x v="1"/>
    <x v="45"/>
    <n v="3"/>
    <n v="3"/>
    <x v="4"/>
    <n v="2"/>
    <x v="2"/>
    <x v="1026"/>
    <n v="20933"/>
    <n v="1"/>
    <s v="Y"/>
    <x v="1"/>
    <n v="12"/>
    <n v="3"/>
    <n v="1"/>
    <n v="80"/>
    <n v="3"/>
    <n v="10"/>
    <n v="4"/>
    <n v="3"/>
    <n v="10"/>
    <n v="8"/>
    <x v="4"/>
    <x v="1"/>
  </r>
  <r>
    <x v="10"/>
    <x v="1"/>
    <x v="0"/>
    <n v="1402"/>
    <x v="0"/>
    <x v="26"/>
    <n v="4"/>
    <x v="0"/>
    <n v="1"/>
    <n v="1554"/>
    <n v="2"/>
    <x v="0"/>
    <x v="33"/>
    <n v="2"/>
    <n v="1"/>
    <x v="6"/>
    <n v="3"/>
    <x v="1"/>
    <x v="1027"/>
    <n v="26204"/>
    <n v="0"/>
    <s v="Y"/>
    <x v="1"/>
    <n v="23"/>
    <n v="4"/>
    <n v="1"/>
    <n v="80"/>
    <n v="2"/>
    <n v="6"/>
    <n v="5"/>
    <n v="3"/>
    <n v="5"/>
    <n v="3"/>
    <x v="5"/>
    <x v="3"/>
  </r>
  <r>
    <x v="5"/>
    <x v="1"/>
    <x v="0"/>
    <n v="824"/>
    <x v="1"/>
    <x v="12"/>
    <n v="2"/>
    <x v="0"/>
    <n v="1"/>
    <n v="1555"/>
    <n v="4"/>
    <x v="0"/>
    <x v="7"/>
    <n v="2"/>
    <n v="2"/>
    <x v="1"/>
    <n v="2"/>
    <x v="1"/>
    <x v="1028"/>
    <n v="15624"/>
    <n v="3"/>
    <s v="Y"/>
    <x v="1"/>
    <n v="12"/>
    <n v="3"/>
    <n v="1"/>
    <n v="80"/>
    <n v="1"/>
    <n v="12"/>
    <n v="2"/>
    <n v="3"/>
    <n v="7"/>
    <n v="1"/>
    <x v="3"/>
    <x v="0"/>
  </r>
  <r>
    <x v="9"/>
    <x v="1"/>
    <x v="0"/>
    <n v="1157"/>
    <x v="0"/>
    <x v="2"/>
    <n v="4"/>
    <x v="0"/>
    <n v="1"/>
    <n v="1556"/>
    <n v="3"/>
    <x v="1"/>
    <x v="49"/>
    <n v="3"/>
    <n v="1"/>
    <x v="6"/>
    <n v="4"/>
    <x v="0"/>
    <x v="1029"/>
    <n v="17001"/>
    <n v="3"/>
    <s v="Y"/>
    <x v="0"/>
    <n v="21"/>
    <n v="4"/>
    <n v="4"/>
    <n v="80"/>
    <n v="0"/>
    <n v="7"/>
    <n v="3"/>
    <n v="2"/>
    <n v="3"/>
    <n v="2"/>
    <x v="1"/>
    <x v="3"/>
  </r>
  <r>
    <x v="26"/>
    <x v="1"/>
    <x v="0"/>
    <n v="492"/>
    <x v="0"/>
    <x v="7"/>
    <n v="4"/>
    <x v="0"/>
    <n v="1"/>
    <n v="1557"/>
    <n v="3"/>
    <x v="0"/>
    <x v="16"/>
    <n v="3"/>
    <n v="2"/>
    <x v="0"/>
    <n v="3"/>
    <x v="2"/>
    <x v="1030"/>
    <n v="13693"/>
    <n v="8"/>
    <s v="Y"/>
    <x v="1"/>
    <n v="14"/>
    <n v="3"/>
    <n v="3"/>
    <n v="80"/>
    <n v="1"/>
    <n v="18"/>
    <n v="2"/>
    <n v="3"/>
    <n v="8"/>
    <n v="7"/>
    <x v="4"/>
    <x v="1"/>
  </r>
  <r>
    <x v="11"/>
    <x v="1"/>
    <x v="0"/>
    <n v="598"/>
    <x v="1"/>
    <x v="14"/>
    <n v="3"/>
    <x v="0"/>
    <n v="1"/>
    <n v="1558"/>
    <n v="3"/>
    <x v="1"/>
    <x v="59"/>
    <n v="4"/>
    <n v="1"/>
    <x v="1"/>
    <n v="3"/>
    <x v="1"/>
    <x v="163"/>
    <n v="22376"/>
    <n v="6"/>
    <s v="Y"/>
    <x v="1"/>
    <n v="18"/>
    <n v="3"/>
    <n v="1"/>
    <n v="80"/>
    <n v="2"/>
    <n v="5"/>
    <n v="2"/>
    <n v="2"/>
    <n v="1"/>
    <n v="0"/>
    <x v="0"/>
    <x v="2"/>
  </r>
  <r>
    <x v="3"/>
    <x v="1"/>
    <x v="0"/>
    <n v="1242"/>
    <x v="0"/>
    <x v="1"/>
    <n v="4"/>
    <x v="0"/>
    <n v="1"/>
    <n v="1560"/>
    <n v="1"/>
    <x v="1"/>
    <x v="55"/>
    <n v="3"/>
    <n v="2"/>
    <x v="0"/>
    <n v="1"/>
    <x v="1"/>
    <x v="1031"/>
    <n v="10589"/>
    <n v="2"/>
    <s v="Y"/>
    <x v="1"/>
    <n v="13"/>
    <n v="3"/>
    <n v="4"/>
    <n v="80"/>
    <n v="1"/>
    <n v="8"/>
    <n v="6"/>
    <n v="1"/>
    <n v="2"/>
    <n v="2"/>
    <x v="3"/>
    <x v="3"/>
  </r>
  <r>
    <x v="7"/>
    <x v="0"/>
    <x v="0"/>
    <n v="740"/>
    <x v="0"/>
    <x v="0"/>
    <n v="3"/>
    <x v="0"/>
    <n v="1"/>
    <n v="1562"/>
    <n v="2"/>
    <x v="1"/>
    <x v="51"/>
    <n v="2"/>
    <n v="2"/>
    <x v="0"/>
    <n v="1"/>
    <x v="1"/>
    <x v="1032"/>
    <n v="5323"/>
    <n v="1"/>
    <s v="Y"/>
    <x v="1"/>
    <n v="11"/>
    <n v="3"/>
    <n v="4"/>
    <n v="80"/>
    <n v="1"/>
    <n v="10"/>
    <n v="4"/>
    <n v="3"/>
    <n v="10"/>
    <n v="8"/>
    <x v="7"/>
    <x v="1"/>
  </r>
  <r>
    <x v="8"/>
    <x v="1"/>
    <x v="1"/>
    <n v="888"/>
    <x v="2"/>
    <x v="17"/>
    <n v="4"/>
    <x v="5"/>
    <n v="1"/>
    <n v="1563"/>
    <n v="3"/>
    <x v="1"/>
    <x v="36"/>
    <n v="3"/>
    <n v="2"/>
    <x v="8"/>
    <n v="3"/>
    <x v="1"/>
    <x v="1033"/>
    <n v="14814"/>
    <n v="3"/>
    <s v="Y"/>
    <x v="1"/>
    <n v="11"/>
    <n v="3"/>
    <n v="3"/>
    <n v="80"/>
    <n v="0"/>
    <n v="10"/>
    <n v="2"/>
    <n v="3"/>
    <n v="6"/>
    <n v="3"/>
    <x v="1"/>
    <x v="3"/>
  </r>
  <r>
    <x v="10"/>
    <x v="1"/>
    <x v="0"/>
    <n v="992"/>
    <x v="1"/>
    <x v="0"/>
    <n v="3"/>
    <x v="2"/>
    <n v="1"/>
    <n v="1564"/>
    <n v="4"/>
    <x v="1"/>
    <x v="67"/>
    <n v="2"/>
    <n v="1"/>
    <x v="2"/>
    <n v="1"/>
    <x v="0"/>
    <x v="533"/>
    <n v="21731"/>
    <n v="1"/>
    <s v="Y"/>
    <x v="1"/>
    <n v="19"/>
    <n v="3"/>
    <n v="2"/>
    <n v="80"/>
    <n v="0"/>
    <n v="3"/>
    <n v="3"/>
    <n v="3"/>
    <n v="3"/>
    <n v="0"/>
    <x v="1"/>
    <x v="3"/>
  </r>
  <r>
    <x v="7"/>
    <x v="1"/>
    <x v="0"/>
    <n v="1288"/>
    <x v="0"/>
    <x v="22"/>
    <n v="4"/>
    <x v="4"/>
    <n v="1"/>
    <n v="1568"/>
    <n v="3"/>
    <x v="1"/>
    <x v="30"/>
    <n v="3"/>
    <n v="3"/>
    <x v="0"/>
    <n v="2"/>
    <x v="1"/>
    <x v="1034"/>
    <n v="17799"/>
    <n v="3"/>
    <s v="Y"/>
    <x v="1"/>
    <n v="12"/>
    <n v="3"/>
    <n v="2"/>
    <n v="80"/>
    <n v="1"/>
    <n v="9"/>
    <n v="3"/>
    <n v="3"/>
    <n v="4"/>
    <n v="2"/>
    <x v="1"/>
    <x v="6"/>
  </r>
  <r>
    <x v="10"/>
    <x v="0"/>
    <x v="0"/>
    <n v="104"/>
    <x v="1"/>
    <x v="2"/>
    <n v="3"/>
    <x v="0"/>
    <n v="1"/>
    <n v="1569"/>
    <n v="1"/>
    <x v="0"/>
    <x v="68"/>
    <n v="3"/>
    <n v="1"/>
    <x v="2"/>
    <n v="1"/>
    <x v="2"/>
    <x v="1035"/>
    <n v="26619"/>
    <n v="1"/>
    <s v="Y"/>
    <x v="0"/>
    <n v="12"/>
    <n v="3"/>
    <n v="4"/>
    <n v="80"/>
    <n v="1"/>
    <n v="1"/>
    <n v="2"/>
    <n v="3"/>
    <n v="1"/>
    <n v="0"/>
    <x v="0"/>
    <x v="2"/>
  </r>
  <r>
    <x v="16"/>
    <x v="0"/>
    <x v="0"/>
    <n v="607"/>
    <x v="1"/>
    <x v="2"/>
    <n v="5"/>
    <x v="4"/>
    <n v="1"/>
    <n v="1572"/>
    <n v="3"/>
    <x v="0"/>
    <x v="17"/>
    <n v="2"/>
    <n v="3"/>
    <x v="3"/>
    <n v="4"/>
    <x v="1"/>
    <x v="1036"/>
    <n v="14618"/>
    <n v="0"/>
    <s v="Y"/>
    <x v="1"/>
    <n v="16"/>
    <n v="3"/>
    <n v="2"/>
    <n v="80"/>
    <n v="1"/>
    <n v="34"/>
    <n v="4"/>
    <n v="3"/>
    <n v="33"/>
    <n v="7"/>
    <x v="1"/>
    <x v="12"/>
  </r>
  <r>
    <x v="8"/>
    <x v="0"/>
    <x v="0"/>
    <n v="903"/>
    <x v="1"/>
    <x v="2"/>
    <n v="3"/>
    <x v="2"/>
    <n v="1"/>
    <n v="1573"/>
    <n v="3"/>
    <x v="1"/>
    <x v="6"/>
    <n v="3"/>
    <n v="2"/>
    <x v="3"/>
    <n v="2"/>
    <x v="1"/>
    <x v="1037"/>
    <n v="7653"/>
    <n v="4"/>
    <s v="Y"/>
    <x v="1"/>
    <n v="11"/>
    <n v="3"/>
    <n v="1"/>
    <n v="80"/>
    <n v="2"/>
    <n v="7"/>
    <n v="2"/>
    <n v="3"/>
    <n v="5"/>
    <n v="2"/>
    <x v="1"/>
    <x v="10"/>
  </r>
  <r>
    <x v="5"/>
    <x v="1"/>
    <x v="2"/>
    <n v="1200"/>
    <x v="1"/>
    <x v="0"/>
    <n v="4"/>
    <x v="4"/>
    <n v="1"/>
    <n v="1574"/>
    <n v="4"/>
    <x v="1"/>
    <x v="50"/>
    <n v="3"/>
    <n v="2"/>
    <x v="1"/>
    <n v="1"/>
    <x v="1"/>
    <x v="1038"/>
    <n v="25174"/>
    <n v="4"/>
    <s v="Y"/>
    <x v="1"/>
    <n v="14"/>
    <n v="3"/>
    <n v="2"/>
    <n v="80"/>
    <n v="1"/>
    <n v="9"/>
    <n v="3"/>
    <n v="2"/>
    <n v="6"/>
    <n v="5"/>
    <x v="1"/>
    <x v="3"/>
  </r>
  <r>
    <x v="26"/>
    <x v="1"/>
    <x v="0"/>
    <n v="1108"/>
    <x v="1"/>
    <x v="8"/>
    <n v="4"/>
    <x v="1"/>
    <n v="1"/>
    <n v="1576"/>
    <n v="3"/>
    <x v="0"/>
    <x v="63"/>
    <n v="3"/>
    <n v="1"/>
    <x v="1"/>
    <n v="1"/>
    <x v="1"/>
    <x v="1039"/>
    <n v="16530"/>
    <n v="8"/>
    <s v="Y"/>
    <x v="1"/>
    <n v="12"/>
    <n v="3"/>
    <n v="4"/>
    <n v="80"/>
    <n v="1"/>
    <n v="10"/>
    <n v="3"/>
    <n v="2"/>
    <n v="8"/>
    <n v="2"/>
    <x v="4"/>
    <x v="4"/>
  </r>
  <r>
    <x v="13"/>
    <x v="1"/>
    <x v="0"/>
    <n v="479"/>
    <x v="1"/>
    <x v="15"/>
    <n v="4"/>
    <x v="2"/>
    <n v="1"/>
    <n v="1577"/>
    <n v="1"/>
    <x v="1"/>
    <x v="58"/>
    <n v="3"/>
    <n v="1"/>
    <x v="1"/>
    <n v="4"/>
    <x v="0"/>
    <x v="1040"/>
    <n v="22061"/>
    <n v="1"/>
    <s v="Y"/>
    <x v="1"/>
    <n v="13"/>
    <n v="3"/>
    <n v="3"/>
    <n v="80"/>
    <n v="0"/>
    <n v="1"/>
    <n v="4"/>
    <n v="1"/>
    <n v="1"/>
    <n v="0"/>
    <x v="0"/>
    <x v="2"/>
  </r>
  <r>
    <x v="27"/>
    <x v="1"/>
    <x v="0"/>
    <n v="685"/>
    <x v="0"/>
    <x v="9"/>
    <n v="5"/>
    <x v="3"/>
    <n v="1"/>
    <n v="1578"/>
    <n v="3"/>
    <x v="1"/>
    <x v="53"/>
    <n v="2"/>
    <n v="5"/>
    <x v="5"/>
    <n v="4"/>
    <x v="1"/>
    <x v="1041"/>
    <n v="23037"/>
    <n v="1"/>
    <s v="Y"/>
    <x v="1"/>
    <n v="21"/>
    <n v="4"/>
    <n v="3"/>
    <n v="80"/>
    <n v="1"/>
    <n v="36"/>
    <n v="3"/>
    <n v="3"/>
    <n v="36"/>
    <n v="6"/>
    <x v="3"/>
    <x v="15"/>
  </r>
  <r>
    <x v="13"/>
    <x v="1"/>
    <x v="0"/>
    <n v="1351"/>
    <x v="1"/>
    <x v="0"/>
    <n v="4"/>
    <x v="0"/>
    <n v="1"/>
    <n v="1580"/>
    <n v="2"/>
    <x v="1"/>
    <x v="18"/>
    <n v="3"/>
    <n v="2"/>
    <x v="1"/>
    <n v="4"/>
    <x v="1"/>
    <x v="299"/>
    <n v="13008"/>
    <n v="9"/>
    <s v="Y"/>
    <x v="1"/>
    <n v="17"/>
    <n v="3"/>
    <n v="2"/>
    <n v="80"/>
    <n v="1"/>
    <n v="9"/>
    <n v="3"/>
    <n v="2"/>
    <n v="2"/>
    <n v="2"/>
    <x v="3"/>
    <x v="9"/>
  </r>
  <r>
    <x v="25"/>
    <x v="1"/>
    <x v="0"/>
    <n v="474"/>
    <x v="1"/>
    <x v="3"/>
    <n v="3"/>
    <x v="0"/>
    <n v="1"/>
    <n v="1581"/>
    <n v="1"/>
    <x v="0"/>
    <x v="66"/>
    <n v="3"/>
    <n v="1"/>
    <x v="1"/>
    <n v="4"/>
    <x v="1"/>
    <x v="1042"/>
    <n v="11133"/>
    <n v="1"/>
    <s v="Y"/>
    <x v="1"/>
    <n v="21"/>
    <n v="4"/>
    <n v="1"/>
    <n v="80"/>
    <n v="0"/>
    <n v="1"/>
    <n v="5"/>
    <n v="3"/>
    <n v="1"/>
    <n v="0"/>
    <x v="0"/>
    <x v="2"/>
  </r>
  <r>
    <x v="8"/>
    <x v="1"/>
    <x v="0"/>
    <n v="1245"/>
    <x v="0"/>
    <x v="24"/>
    <n v="3"/>
    <x v="0"/>
    <n v="1"/>
    <n v="1582"/>
    <n v="3"/>
    <x v="1"/>
    <x v="15"/>
    <n v="3"/>
    <n v="2"/>
    <x v="0"/>
    <n v="2"/>
    <x v="1"/>
    <x v="1043"/>
    <n v="12355"/>
    <n v="0"/>
    <s v="Y"/>
    <x v="1"/>
    <n v="11"/>
    <n v="3"/>
    <n v="4"/>
    <n v="80"/>
    <n v="1"/>
    <n v="10"/>
    <n v="3"/>
    <n v="3"/>
    <n v="9"/>
    <n v="8"/>
    <x v="4"/>
    <x v="1"/>
  </r>
  <r>
    <x v="8"/>
    <x v="1"/>
    <x v="0"/>
    <n v="437"/>
    <x v="0"/>
    <x v="7"/>
    <n v="3"/>
    <x v="0"/>
    <n v="1"/>
    <n v="1583"/>
    <n v="2"/>
    <x v="0"/>
    <x v="62"/>
    <n v="3"/>
    <n v="2"/>
    <x v="0"/>
    <n v="2"/>
    <x v="0"/>
    <x v="1044"/>
    <n v="16379"/>
    <n v="2"/>
    <s v="Y"/>
    <x v="1"/>
    <n v="12"/>
    <n v="3"/>
    <n v="2"/>
    <n v="80"/>
    <n v="0"/>
    <n v="8"/>
    <n v="5"/>
    <n v="4"/>
    <n v="3"/>
    <n v="2"/>
    <x v="1"/>
    <x v="3"/>
  </r>
  <r>
    <x v="9"/>
    <x v="1"/>
    <x v="0"/>
    <n v="884"/>
    <x v="0"/>
    <x v="0"/>
    <n v="4"/>
    <x v="0"/>
    <n v="1"/>
    <n v="1585"/>
    <n v="2"/>
    <x v="0"/>
    <x v="32"/>
    <n v="3"/>
    <n v="2"/>
    <x v="0"/>
    <n v="3"/>
    <x v="0"/>
    <x v="1045"/>
    <n v="21447"/>
    <n v="6"/>
    <s v="Y"/>
    <x v="1"/>
    <n v="13"/>
    <n v="3"/>
    <n v="1"/>
    <n v="80"/>
    <n v="0"/>
    <n v="15"/>
    <n v="5"/>
    <n v="3"/>
    <n v="1"/>
    <n v="0"/>
    <x v="0"/>
    <x v="2"/>
  </r>
  <r>
    <x v="11"/>
    <x v="1"/>
    <x v="0"/>
    <n v="1370"/>
    <x v="1"/>
    <x v="3"/>
    <n v="1"/>
    <x v="2"/>
    <n v="1"/>
    <n v="1586"/>
    <n v="2"/>
    <x v="1"/>
    <x v="44"/>
    <n v="3"/>
    <n v="1"/>
    <x v="2"/>
    <n v="1"/>
    <x v="0"/>
    <x v="1046"/>
    <n v="16213"/>
    <n v="1"/>
    <s v="Y"/>
    <x v="0"/>
    <n v="18"/>
    <n v="3"/>
    <n v="4"/>
    <n v="80"/>
    <n v="0"/>
    <n v="10"/>
    <n v="3"/>
    <n v="3"/>
    <n v="10"/>
    <n v="9"/>
    <x v="1"/>
    <x v="0"/>
  </r>
  <r>
    <x v="10"/>
    <x v="1"/>
    <x v="0"/>
    <n v="670"/>
    <x v="1"/>
    <x v="17"/>
    <n v="4"/>
    <x v="2"/>
    <n v="1"/>
    <n v="1587"/>
    <n v="1"/>
    <x v="0"/>
    <x v="14"/>
    <n v="3"/>
    <n v="2"/>
    <x v="4"/>
    <n v="3"/>
    <x v="0"/>
    <x v="528"/>
    <n v="4223"/>
    <n v="3"/>
    <s v="Y"/>
    <x v="0"/>
    <n v="16"/>
    <n v="3"/>
    <n v="3"/>
    <n v="80"/>
    <n v="0"/>
    <n v="10"/>
    <n v="4"/>
    <n v="3"/>
    <n v="5"/>
    <n v="2"/>
    <x v="0"/>
    <x v="10"/>
  </r>
  <r>
    <x v="22"/>
    <x v="1"/>
    <x v="0"/>
    <n v="1462"/>
    <x v="0"/>
    <x v="16"/>
    <n v="3"/>
    <x v="2"/>
    <n v="1"/>
    <n v="1588"/>
    <n v="4"/>
    <x v="1"/>
    <x v="70"/>
    <n v="4"/>
    <n v="3"/>
    <x v="0"/>
    <n v="3"/>
    <x v="1"/>
    <x v="1047"/>
    <n v="4658"/>
    <n v="2"/>
    <s v="Y"/>
    <x v="1"/>
    <n v="11"/>
    <n v="3"/>
    <n v="1"/>
    <n v="80"/>
    <n v="1"/>
    <n v="11"/>
    <n v="3"/>
    <n v="3"/>
    <n v="7"/>
    <n v="6"/>
    <x v="4"/>
    <x v="4"/>
  </r>
  <r>
    <x v="11"/>
    <x v="1"/>
    <x v="1"/>
    <n v="995"/>
    <x v="1"/>
    <x v="2"/>
    <n v="1"/>
    <x v="0"/>
    <n v="1"/>
    <n v="1590"/>
    <n v="1"/>
    <x v="1"/>
    <x v="44"/>
    <n v="3"/>
    <n v="2"/>
    <x v="4"/>
    <n v="4"/>
    <x v="2"/>
    <x v="1048"/>
    <n v="24483"/>
    <n v="1"/>
    <s v="Y"/>
    <x v="1"/>
    <n v="19"/>
    <n v="3"/>
    <n v="4"/>
    <n v="80"/>
    <n v="1"/>
    <n v="6"/>
    <n v="0"/>
    <n v="4"/>
    <n v="6"/>
    <n v="4"/>
    <x v="1"/>
    <x v="6"/>
  </r>
  <r>
    <x v="24"/>
    <x v="1"/>
    <x v="0"/>
    <n v="264"/>
    <x v="0"/>
    <x v="14"/>
    <n v="3"/>
    <x v="3"/>
    <n v="1"/>
    <n v="1591"/>
    <n v="3"/>
    <x v="1"/>
    <x v="40"/>
    <n v="3"/>
    <n v="5"/>
    <x v="5"/>
    <n v="3"/>
    <x v="1"/>
    <x v="1049"/>
    <n v="19519"/>
    <n v="4"/>
    <s v="Y"/>
    <x v="0"/>
    <n v="16"/>
    <n v="3"/>
    <n v="3"/>
    <n v="80"/>
    <n v="1"/>
    <n v="27"/>
    <n v="2"/>
    <n v="3"/>
    <n v="1"/>
    <n v="0"/>
    <x v="0"/>
    <x v="2"/>
  </r>
  <r>
    <x v="30"/>
    <x v="1"/>
    <x v="0"/>
    <n v="977"/>
    <x v="1"/>
    <x v="17"/>
    <n v="3"/>
    <x v="4"/>
    <n v="1"/>
    <n v="1592"/>
    <n v="4"/>
    <x v="1"/>
    <x v="18"/>
    <n v="4"/>
    <n v="1"/>
    <x v="1"/>
    <n v="3"/>
    <x v="1"/>
    <x v="97"/>
    <n v="12826"/>
    <n v="2"/>
    <s v="Y"/>
    <x v="1"/>
    <n v="16"/>
    <n v="3"/>
    <n v="4"/>
    <n v="80"/>
    <n v="1"/>
    <n v="4"/>
    <n v="2"/>
    <n v="3"/>
    <n v="2"/>
    <n v="2"/>
    <x v="3"/>
    <x v="3"/>
  </r>
  <r>
    <x v="9"/>
    <x v="1"/>
    <x v="1"/>
    <n v="1302"/>
    <x v="1"/>
    <x v="16"/>
    <n v="4"/>
    <x v="0"/>
    <n v="1"/>
    <n v="1594"/>
    <n v="1"/>
    <x v="1"/>
    <x v="15"/>
    <n v="4"/>
    <n v="2"/>
    <x v="2"/>
    <n v="1"/>
    <x v="1"/>
    <x v="622"/>
    <n v="19711"/>
    <n v="3"/>
    <s v="Y"/>
    <x v="0"/>
    <n v="13"/>
    <n v="3"/>
    <n v="4"/>
    <n v="80"/>
    <n v="1"/>
    <n v="9"/>
    <n v="3"/>
    <n v="3"/>
    <n v="3"/>
    <n v="2"/>
    <x v="0"/>
    <x v="3"/>
  </r>
  <r>
    <x v="19"/>
    <x v="1"/>
    <x v="0"/>
    <n v="1059"/>
    <x v="1"/>
    <x v="14"/>
    <n v="2"/>
    <x v="1"/>
    <n v="1"/>
    <n v="1595"/>
    <n v="4"/>
    <x v="1"/>
    <x v="12"/>
    <n v="2"/>
    <n v="5"/>
    <x v="5"/>
    <n v="4"/>
    <x v="0"/>
    <x v="1050"/>
    <n v="26362"/>
    <n v="8"/>
    <s v="Y"/>
    <x v="1"/>
    <n v="22"/>
    <n v="4"/>
    <n v="4"/>
    <n v="80"/>
    <n v="0"/>
    <n v="24"/>
    <n v="2"/>
    <n v="3"/>
    <n v="1"/>
    <n v="0"/>
    <x v="0"/>
    <x v="9"/>
  </r>
  <r>
    <x v="10"/>
    <x v="1"/>
    <x v="0"/>
    <n v="750"/>
    <x v="1"/>
    <x v="26"/>
    <n v="3"/>
    <x v="0"/>
    <n v="1"/>
    <n v="1596"/>
    <n v="2"/>
    <x v="1"/>
    <x v="55"/>
    <n v="4"/>
    <n v="2"/>
    <x v="2"/>
    <n v="3"/>
    <x v="1"/>
    <x v="21"/>
    <n v="25348"/>
    <n v="1"/>
    <s v="Y"/>
    <x v="1"/>
    <n v="17"/>
    <n v="3"/>
    <n v="4"/>
    <n v="80"/>
    <n v="2"/>
    <n v="10"/>
    <n v="3"/>
    <n v="2"/>
    <n v="10"/>
    <n v="9"/>
    <x v="7"/>
    <x v="5"/>
  </r>
  <r>
    <x v="13"/>
    <x v="1"/>
    <x v="1"/>
    <n v="653"/>
    <x v="1"/>
    <x v="17"/>
    <n v="4"/>
    <x v="4"/>
    <n v="1"/>
    <n v="1597"/>
    <n v="4"/>
    <x v="1"/>
    <x v="2"/>
    <n v="2"/>
    <n v="2"/>
    <x v="4"/>
    <n v="3"/>
    <x v="1"/>
    <x v="1051"/>
    <n v="15332"/>
    <n v="1"/>
    <s v="Y"/>
    <x v="1"/>
    <n v="14"/>
    <n v="3"/>
    <n v="2"/>
    <n v="80"/>
    <n v="1"/>
    <n v="8"/>
    <n v="3"/>
    <n v="2"/>
    <n v="8"/>
    <n v="2"/>
    <x v="4"/>
    <x v="1"/>
  </r>
  <r>
    <x v="32"/>
    <x v="1"/>
    <x v="0"/>
    <n v="118"/>
    <x v="0"/>
    <x v="24"/>
    <n v="2"/>
    <x v="0"/>
    <n v="1"/>
    <n v="1598"/>
    <n v="4"/>
    <x v="0"/>
    <x v="9"/>
    <n v="3"/>
    <n v="2"/>
    <x v="0"/>
    <n v="1"/>
    <x v="1"/>
    <x v="912"/>
    <n v="11262"/>
    <n v="1"/>
    <s v="Y"/>
    <x v="1"/>
    <n v="15"/>
    <n v="3"/>
    <n v="3"/>
    <n v="80"/>
    <n v="1"/>
    <n v="5"/>
    <n v="2"/>
    <n v="3"/>
    <n v="5"/>
    <n v="4"/>
    <x v="1"/>
    <x v="3"/>
  </r>
  <r>
    <x v="23"/>
    <x v="1"/>
    <x v="0"/>
    <n v="990"/>
    <x v="1"/>
    <x v="6"/>
    <n v="3"/>
    <x v="4"/>
    <n v="1"/>
    <n v="1599"/>
    <n v="4"/>
    <x v="1"/>
    <x v="44"/>
    <n v="4"/>
    <n v="1"/>
    <x v="2"/>
    <n v="2"/>
    <x v="2"/>
    <x v="204"/>
    <n v="5855"/>
    <n v="5"/>
    <s v="Y"/>
    <x v="1"/>
    <n v="12"/>
    <n v="3"/>
    <n v="3"/>
    <n v="80"/>
    <n v="1"/>
    <n v="8"/>
    <n v="0"/>
    <n v="3"/>
    <n v="6"/>
    <n v="4"/>
    <x v="0"/>
    <x v="3"/>
  </r>
  <r>
    <x v="10"/>
    <x v="1"/>
    <x v="0"/>
    <n v="1349"/>
    <x v="1"/>
    <x v="15"/>
    <n v="2"/>
    <x v="0"/>
    <n v="1"/>
    <n v="1601"/>
    <n v="3"/>
    <x v="1"/>
    <x v="52"/>
    <n v="2"/>
    <n v="1"/>
    <x v="2"/>
    <n v="4"/>
    <x v="1"/>
    <x v="1052"/>
    <n v="7713"/>
    <n v="1"/>
    <s v="Y"/>
    <x v="1"/>
    <n v="18"/>
    <n v="3"/>
    <n v="4"/>
    <n v="80"/>
    <n v="1"/>
    <n v="1"/>
    <n v="5"/>
    <n v="2"/>
    <n v="1"/>
    <n v="0"/>
    <x v="0"/>
    <x v="9"/>
  </r>
  <r>
    <x v="21"/>
    <x v="1"/>
    <x v="0"/>
    <n v="563"/>
    <x v="0"/>
    <x v="0"/>
    <n v="4"/>
    <x v="0"/>
    <n v="1"/>
    <n v="1602"/>
    <n v="4"/>
    <x v="1"/>
    <x v="3"/>
    <n v="4"/>
    <n v="4"/>
    <x v="5"/>
    <n v="1"/>
    <x v="0"/>
    <x v="1053"/>
    <n v="3156"/>
    <n v="1"/>
    <s v="Y"/>
    <x v="1"/>
    <n v="15"/>
    <n v="3"/>
    <n v="2"/>
    <n v="80"/>
    <n v="0"/>
    <n v="27"/>
    <n v="5"/>
    <n v="1"/>
    <n v="26"/>
    <n v="0"/>
    <x v="0"/>
    <x v="11"/>
  </r>
  <r>
    <x v="14"/>
    <x v="0"/>
    <x v="0"/>
    <n v="329"/>
    <x v="1"/>
    <x v="4"/>
    <n v="3"/>
    <x v="2"/>
    <n v="1"/>
    <n v="1604"/>
    <n v="3"/>
    <x v="1"/>
    <x v="14"/>
    <n v="3"/>
    <n v="1"/>
    <x v="2"/>
    <n v="2"/>
    <x v="1"/>
    <x v="1054"/>
    <n v="7324"/>
    <n v="1"/>
    <s v="Y"/>
    <x v="0"/>
    <n v="17"/>
    <n v="3"/>
    <n v="3"/>
    <n v="80"/>
    <n v="3"/>
    <n v="1"/>
    <n v="3"/>
    <n v="3"/>
    <n v="1"/>
    <n v="1"/>
    <x v="0"/>
    <x v="2"/>
  </r>
  <r>
    <x v="15"/>
    <x v="1"/>
    <x v="2"/>
    <n v="457"/>
    <x v="1"/>
    <x v="9"/>
    <n v="2"/>
    <x v="1"/>
    <n v="1"/>
    <n v="1605"/>
    <n v="2"/>
    <x v="0"/>
    <x v="65"/>
    <n v="2"/>
    <n v="1"/>
    <x v="1"/>
    <n v="3"/>
    <x v="1"/>
    <x v="1055"/>
    <n v="10293"/>
    <n v="1"/>
    <s v="Y"/>
    <x v="0"/>
    <n v="14"/>
    <n v="3"/>
    <n v="2"/>
    <n v="80"/>
    <n v="0"/>
    <n v="4"/>
    <n v="2"/>
    <n v="2"/>
    <n v="4"/>
    <n v="2"/>
    <x v="1"/>
    <x v="6"/>
  </r>
  <r>
    <x v="24"/>
    <x v="1"/>
    <x v="1"/>
    <n v="1234"/>
    <x v="1"/>
    <x v="25"/>
    <n v="5"/>
    <x v="2"/>
    <n v="1"/>
    <n v="1606"/>
    <n v="2"/>
    <x v="1"/>
    <x v="26"/>
    <n v="3"/>
    <n v="4"/>
    <x v="4"/>
    <n v="3"/>
    <x v="1"/>
    <x v="1056"/>
    <n v="20689"/>
    <n v="2"/>
    <s v="Y"/>
    <x v="0"/>
    <n v="15"/>
    <n v="3"/>
    <n v="3"/>
    <n v="80"/>
    <n v="1"/>
    <n v="32"/>
    <n v="3"/>
    <n v="3"/>
    <n v="30"/>
    <n v="8"/>
    <x v="12"/>
    <x v="15"/>
  </r>
  <r>
    <x v="5"/>
    <x v="1"/>
    <x v="0"/>
    <n v="634"/>
    <x v="1"/>
    <x v="12"/>
    <n v="4"/>
    <x v="1"/>
    <n v="1"/>
    <n v="1607"/>
    <n v="2"/>
    <x v="0"/>
    <x v="58"/>
    <n v="4"/>
    <n v="1"/>
    <x v="1"/>
    <n v="4"/>
    <x v="1"/>
    <x v="1057"/>
    <n v="18783"/>
    <n v="3"/>
    <s v="Y"/>
    <x v="1"/>
    <n v="17"/>
    <n v="3"/>
    <n v="4"/>
    <n v="80"/>
    <n v="2"/>
    <n v="6"/>
    <n v="3"/>
    <n v="3"/>
    <n v="3"/>
    <n v="2"/>
    <x v="0"/>
    <x v="3"/>
  </r>
  <r>
    <x v="20"/>
    <x v="1"/>
    <x v="0"/>
    <n v="1313"/>
    <x v="1"/>
    <x v="15"/>
    <n v="3"/>
    <x v="2"/>
    <n v="1"/>
    <n v="1608"/>
    <n v="2"/>
    <x v="0"/>
    <x v="11"/>
    <n v="3"/>
    <n v="5"/>
    <x v="7"/>
    <n v="4"/>
    <x v="2"/>
    <x v="1058"/>
    <n v="3549"/>
    <n v="0"/>
    <s v="Y"/>
    <x v="0"/>
    <n v="14"/>
    <n v="3"/>
    <n v="4"/>
    <n v="80"/>
    <n v="1"/>
    <n v="23"/>
    <n v="4"/>
    <n v="2"/>
    <n v="22"/>
    <n v="7"/>
    <x v="1"/>
    <x v="13"/>
  </r>
  <r>
    <x v="7"/>
    <x v="1"/>
    <x v="0"/>
    <n v="241"/>
    <x v="1"/>
    <x v="15"/>
    <n v="3"/>
    <x v="2"/>
    <n v="1"/>
    <n v="1609"/>
    <n v="2"/>
    <x v="1"/>
    <x v="24"/>
    <n v="2"/>
    <n v="1"/>
    <x v="1"/>
    <n v="2"/>
    <x v="1"/>
    <x v="1059"/>
    <n v="5348"/>
    <n v="1"/>
    <s v="Y"/>
    <x v="1"/>
    <n v="12"/>
    <n v="3"/>
    <n v="2"/>
    <n v="80"/>
    <n v="1"/>
    <n v="6"/>
    <n v="3"/>
    <n v="2"/>
    <n v="6"/>
    <n v="4"/>
    <x v="1"/>
    <x v="9"/>
  </r>
  <r>
    <x v="28"/>
    <x v="1"/>
    <x v="0"/>
    <n v="1015"/>
    <x v="1"/>
    <x v="12"/>
    <n v="5"/>
    <x v="2"/>
    <n v="1"/>
    <n v="1611"/>
    <n v="3"/>
    <x v="0"/>
    <x v="13"/>
    <n v="1"/>
    <n v="2"/>
    <x v="2"/>
    <n v="1"/>
    <x v="0"/>
    <x v="939"/>
    <n v="23447"/>
    <n v="1"/>
    <s v="Y"/>
    <x v="0"/>
    <n v="14"/>
    <n v="3"/>
    <n v="1"/>
    <n v="80"/>
    <n v="0"/>
    <n v="10"/>
    <n v="3"/>
    <n v="3"/>
    <n v="10"/>
    <n v="7"/>
    <x v="1"/>
    <x v="10"/>
  </r>
  <r>
    <x v="28"/>
    <x v="1"/>
    <x v="2"/>
    <n v="336"/>
    <x v="0"/>
    <x v="9"/>
    <n v="3"/>
    <x v="3"/>
    <n v="1"/>
    <n v="1612"/>
    <n v="1"/>
    <x v="1"/>
    <x v="48"/>
    <n v="2"/>
    <n v="2"/>
    <x v="0"/>
    <n v="1"/>
    <x v="1"/>
    <x v="1060"/>
    <n v="24162"/>
    <n v="1"/>
    <s v="Y"/>
    <x v="1"/>
    <n v="15"/>
    <n v="3"/>
    <n v="1"/>
    <n v="80"/>
    <n v="1"/>
    <n v="10"/>
    <n v="2"/>
    <n v="3"/>
    <n v="10"/>
    <n v="7"/>
    <x v="5"/>
    <x v="0"/>
  </r>
  <r>
    <x v="12"/>
    <x v="1"/>
    <x v="1"/>
    <n v="715"/>
    <x v="0"/>
    <x v="2"/>
    <n v="4"/>
    <x v="1"/>
    <n v="1"/>
    <n v="1613"/>
    <n v="4"/>
    <x v="1"/>
    <x v="60"/>
    <n v="3"/>
    <n v="2"/>
    <x v="0"/>
    <n v="1"/>
    <x v="0"/>
    <x v="1061"/>
    <n v="21602"/>
    <n v="7"/>
    <s v="Y"/>
    <x v="1"/>
    <n v="13"/>
    <n v="3"/>
    <n v="4"/>
    <n v="80"/>
    <n v="0"/>
    <n v="10"/>
    <n v="3"/>
    <n v="3"/>
    <n v="5"/>
    <n v="2"/>
    <x v="0"/>
    <x v="6"/>
  </r>
  <r>
    <x v="9"/>
    <x v="1"/>
    <x v="0"/>
    <n v="559"/>
    <x v="1"/>
    <x v="20"/>
    <n v="4"/>
    <x v="0"/>
    <n v="1"/>
    <n v="1614"/>
    <n v="3"/>
    <x v="0"/>
    <x v="43"/>
    <n v="3"/>
    <n v="2"/>
    <x v="3"/>
    <n v="3"/>
    <x v="1"/>
    <x v="1062"/>
    <n v="12421"/>
    <n v="9"/>
    <s v="Y"/>
    <x v="0"/>
    <n v="12"/>
    <n v="3"/>
    <n v="2"/>
    <n v="80"/>
    <n v="2"/>
    <n v="7"/>
    <n v="2"/>
    <n v="3"/>
    <n v="3"/>
    <n v="2"/>
    <x v="1"/>
    <x v="9"/>
  </r>
  <r>
    <x v="13"/>
    <x v="1"/>
    <x v="1"/>
    <n v="426"/>
    <x v="1"/>
    <x v="17"/>
    <n v="4"/>
    <x v="0"/>
    <n v="1"/>
    <n v="1615"/>
    <n v="3"/>
    <x v="1"/>
    <x v="25"/>
    <n v="4"/>
    <n v="2"/>
    <x v="3"/>
    <n v="4"/>
    <x v="2"/>
    <x v="927"/>
    <n v="17000"/>
    <n v="1"/>
    <s v="Y"/>
    <x v="1"/>
    <n v="13"/>
    <n v="3"/>
    <n v="1"/>
    <n v="80"/>
    <n v="1"/>
    <n v="9"/>
    <n v="3"/>
    <n v="3"/>
    <n v="9"/>
    <n v="7"/>
    <x v="4"/>
    <x v="3"/>
  </r>
  <r>
    <x v="1"/>
    <x v="1"/>
    <x v="0"/>
    <n v="722"/>
    <x v="1"/>
    <x v="19"/>
    <n v="4"/>
    <x v="0"/>
    <n v="1"/>
    <n v="1617"/>
    <n v="3"/>
    <x v="0"/>
    <x v="9"/>
    <n v="3"/>
    <n v="1"/>
    <x v="2"/>
    <n v="1"/>
    <x v="1"/>
    <x v="1063"/>
    <n v="22102"/>
    <n v="1"/>
    <s v="Y"/>
    <x v="1"/>
    <n v="14"/>
    <n v="3"/>
    <n v="4"/>
    <n v="80"/>
    <n v="1"/>
    <n v="10"/>
    <n v="3"/>
    <n v="2"/>
    <n v="9"/>
    <n v="6"/>
    <x v="1"/>
    <x v="10"/>
  </r>
  <r>
    <x v="22"/>
    <x v="1"/>
    <x v="0"/>
    <n v="1387"/>
    <x v="1"/>
    <x v="17"/>
    <n v="5"/>
    <x v="2"/>
    <n v="1"/>
    <n v="1618"/>
    <n v="2"/>
    <x v="1"/>
    <x v="43"/>
    <n v="3"/>
    <n v="2"/>
    <x v="3"/>
    <n v="1"/>
    <x v="1"/>
    <x v="1064"/>
    <n v="3835"/>
    <n v="2"/>
    <s v="Y"/>
    <x v="1"/>
    <n v="13"/>
    <n v="3"/>
    <n v="4"/>
    <n v="80"/>
    <n v="3"/>
    <n v="10"/>
    <n v="3"/>
    <n v="3"/>
    <n v="7"/>
    <n v="7"/>
    <x v="4"/>
    <x v="1"/>
  </r>
  <r>
    <x v="4"/>
    <x v="1"/>
    <x v="0"/>
    <n v="1302"/>
    <x v="1"/>
    <x v="10"/>
    <n v="3"/>
    <x v="1"/>
    <n v="1"/>
    <n v="1619"/>
    <n v="4"/>
    <x v="1"/>
    <x v="7"/>
    <n v="2"/>
    <n v="1"/>
    <x v="2"/>
    <n v="1"/>
    <x v="2"/>
    <x v="1065"/>
    <n v="16290"/>
    <n v="1"/>
    <s v="Y"/>
    <x v="1"/>
    <n v="11"/>
    <n v="3"/>
    <n v="1"/>
    <n v="80"/>
    <n v="2"/>
    <n v="7"/>
    <n v="3"/>
    <n v="3"/>
    <n v="7"/>
    <n v="7"/>
    <x v="0"/>
    <x v="1"/>
  </r>
  <r>
    <x v="10"/>
    <x v="1"/>
    <x v="0"/>
    <n v="819"/>
    <x v="1"/>
    <x v="21"/>
    <n v="5"/>
    <x v="0"/>
    <n v="1"/>
    <n v="1621"/>
    <n v="2"/>
    <x v="1"/>
    <x v="24"/>
    <n v="4"/>
    <n v="2"/>
    <x v="1"/>
    <n v="1"/>
    <x v="1"/>
    <x v="1066"/>
    <n v="26312"/>
    <n v="1"/>
    <s v="Y"/>
    <x v="1"/>
    <n v="11"/>
    <n v="3"/>
    <n v="4"/>
    <n v="80"/>
    <n v="0"/>
    <n v="16"/>
    <n v="2"/>
    <n v="3"/>
    <n v="16"/>
    <n v="15"/>
    <x v="1"/>
    <x v="13"/>
  </r>
  <r>
    <x v="14"/>
    <x v="1"/>
    <x v="0"/>
    <n v="580"/>
    <x v="1"/>
    <x v="6"/>
    <n v="3"/>
    <x v="2"/>
    <n v="1"/>
    <n v="1622"/>
    <n v="2"/>
    <x v="0"/>
    <x v="56"/>
    <n v="1"/>
    <n v="2"/>
    <x v="3"/>
    <n v="1"/>
    <x v="2"/>
    <x v="1067"/>
    <n v="20460"/>
    <n v="0"/>
    <s v="Y"/>
    <x v="1"/>
    <n v="21"/>
    <n v="4"/>
    <n v="2"/>
    <n v="80"/>
    <n v="1"/>
    <n v="6"/>
    <n v="5"/>
    <n v="2"/>
    <n v="5"/>
    <n v="3"/>
    <x v="0"/>
    <x v="2"/>
  </r>
  <r>
    <x v="18"/>
    <x v="1"/>
    <x v="0"/>
    <n v="546"/>
    <x v="1"/>
    <x v="12"/>
    <n v="1"/>
    <x v="2"/>
    <n v="1"/>
    <n v="1623"/>
    <n v="3"/>
    <x v="1"/>
    <x v="28"/>
    <n v="3"/>
    <n v="1"/>
    <x v="1"/>
    <n v="4"/>
    <x v="0"/>
    <x v="1068"/>
    <n v="26009"/>
    <n v="1"/>
    <s v="Y"/>
    <x v="1"/>
    <n v="18"/>
    <n v="3"/>
    <n v="3"/>
    <n v="80"/>
    <n v="0"/>
    <n v="3"/>
    <n v="2"/>
    <n v="3"/>
    <n v="2"/>
    <n v="2"/>
    <x v="3"/>
    <x v="3"/>
  </r>
  <r>
    <x v="41"/>
    <x v="0"/>
    <x v="1"/>
    <n v="544"/>
    <x v="0"/>
    <x v="3"/>
    <n v="2"/>
    <x v="2"/>
    <n v="1"/>
    <n v="1624"/>
    <n v="2"/>
    <x v="0"/>
    <x v="49"/>
    <n v="3"/>
    <n v="1"/>
    <x v="6"/>
    <n v="4"/>
    <x v="0"/>
    <x v="1069"/>
    <n v="18420"/>
    <n v="1"/>
    <s v="Y"/>
    <x v="0"/>
    <n v="12"/>
    <n v="3"/>
    <n v="3"/>
    <n v="80"/>
    <n v="0"/>
    <n v="0"/>
    <n v="2"/>
    <n v="4"/>
    <n v="0"/>
    <n v="0"/>
    <x v="0"/>
    <x v="2"/>
  </r>
  <r>
    <x v="40"/>
    <x v="1"/>
    <x v="0"/>
    <n v="1176"/>
    <x v="2"/>
    <x v="9"/>
    <n v="4"/>
    <x v="0"/>
    <n v="1"/>
    <n v="1625"/>
    <n v="4"/>
    <x v="0"/>
    <x v="33"/>
    <n v="3"/>
    <n v="5"/>
    <x v="5"/>
    <n v="3"/>
    <x v="1"/>
    <x v="1070"/>
    <n v="5220"/>
    <n v="3"/>
    <s v="Y"/>
    <x v="1"/>
    <n v="11"/>
    <n v="3"/>
    <n v="3"/>
    <n v="80"/>
    <n v="1"/>
    <n v="27"/>
    <n v="2"/>
    <n v="3"/>
    <n v="5"/>
    <n v="2"/>
    <x v="1"/>
    <x v="2"/>
  </r>
  <r>
    <x v="22"/>
    <x v="1"/>
    <x v="0"/>
    <n v="170"/>
    <x v="1"/>
    <x v="3"/>
    <n v="2"/>
    <x v="2"/>
    <n v="1"/>
    <n v="1627"/>
    <n v="3"/>
    <x v="1"/>
    <x v="43"/>
    <n v="2"/>
    <n v="2"/>
    <x v="2"/>
    <n v="3"/>
    <x v="2"/>
    <x v="1071"/>
    <n v="10302"/>
    <n v="0"/>
    <s v="Y"/>
    <x v="1"/>
    <n v="15"/>
    <n v="3"/>
    <n v="4"/>
    <n v="80"/>
    <n v="1"/>
    <n v="11"/>
    <n v="3"/>
    <n v="3"/>
    <n v="10"/>
    <n v="8"/>
    <x v="0"/>
    <x v="1"/>
  </r>
  <r>
    <x v="32"/>
    <x v="1"/>
    <x v="0"/>
    <n v="884"/>
    <x v="1"/>
    <x v="8"/>
    <n v="3"/>
    <x v="0"/>
    <n v="1"/>
    <n v="1628"/>
    <n v="1"/>
    <x v="0"/>
    <x v="15"/>
    <n v="2"/>
    <n v="3"/>
    <x v="3"/>
    <n v="3"/>
    <x v="1"/>
    <x v="1072"/>
    <n v="25800"/>
    <n v="1"/>
    <s v="Y"/>
    <x v="1"/>
    <n v="13"/>
    <n v="3"/>
    <n v="4"/>
    <n v="80"/>
    <n v="2"/>
    <n v="18"/>
    <n v="2"/>
    <n v="3"/>
    <n v="18"/>
    <n v="15"/>
    <x v="15"/>
    <x v="11"/>
  </r>
  <r>
    <x v="10"/>
    <x v="1"/>
    <x v="2"/>
    <n v="208"/>
    <x v="1"/>
    <x v="1"/>
    <n v="4"/>
    <x v="0"/>
    <n v="1"/>
    <n v="1630"/>
    <n v="3"/>
    <x v="0"/>
    <x v="48"/>
    <n v="3"/>
    <n v="2"/>
    <x v="4"/>
    <n v="3"/>
    <x v="1"/>
    <x v="691"/>
    <n v="12250"/>
    <n v="1"/>
    <s v="Y"/>
    <x v="1"/>
    <n v="12"/>
    <n v="3"/>
    <n v="4"/>
    <n v="80"/>
    <n v="1"/>
    <n v="15"/>
    <n v="5"/>
    <n v="3"/>
    <n v="14"/>
    <n v="11"/>
    <x v="3"/>
    <x v="12"/>
  </r>
  <r>
    <x v="2"/>
    <x v="1"/>
    <x v="0"/>
    <n v="671"/>
    <x v="1"/>
    <x v="10"/>
    <n v="3"/>
    <x v="0"/>
    <n v="1"/>
    <n v="1631"/>
    <n v="3"/>
    <x v="1"/>
    <x v="65"/>
    <n v="3"/>
    <n v="2"/>
    <x v="3"/>
    <n v="3"/>
    <x v="1"/>
    <x v="1073"/>
    <n v="26493"/>
    <n v="3"/>
    <s v="Y"/>
    <x v="1"/>
    <n v="17"/>
    <n v="3"/>
    <n v="1"/>
    <n v="80"/>
    <n v="3"/>
    <n v="9"/>
    <n v="2"/>
    <n v="2"/>
    <n v="4"/>
    <n v="3"/>
    <x v="0"/>
    <x v="3"/>
  </r>
  <r>
    <x v="22"/>
    <x v="1"/>
    <x v="1"/>
    <n v="711"/>
    <x v="1"/>
    <x v="18"/>
    <n v="3"/>
    <x v="2"/>
    <n v="1"/>
    <n v="1633"/>
    <n v="1"/>
    <x v="0"/>
    <x v="6"/>
    <n v="3"/>
    <n v="2"/>
    <x v="3"/>
    <n v="3"/>
    <x v="0"/>
    <x v="1074"/>
    <n v="3140"/>
    <n v="0"/>
    <s v="Y"/>
    <x v="1"/>
    <n v="13"/>
    <n v="3"/>
    <n v="4"/>
    <n v="80"/>
    <n v="0"/>
    <n v="10"/>
    <n v="2"/>
    <n v="1"/>
    <n v="9"/>
    <n v="2"/>
    <x v="2"/>
    <x v="5"/>
  </r>
  <r>
    <x v="28"/>
    <x v="1"/>
    <x v="0"/>
    <n v="1329"/>
    <x v="1"/>
    <x v="2"/>
    <n v="2"/>
    <x v="1"/>
    <n v="1"/>
    <n v="1635"/>
    <n v="4"/>
    <x v="0"/>
    <x v="40"/>
    <n v="2"/>
    <n v="2"/>
    <x v="3"/>
    <n v="4"/>
    <x v="2"/>
    <x v="1075"/>
    <n v="5388"/>
    <n v="1"/>
    <s v="Y"/>
    <x v="1"/>
    <n v="19"/>
    <n v="3"/>
    <n v="1"/>
    <n v="80"/>
    <n v="2"/>
    <n v="10"/>
    <n v="3"/>
    <n v="3"/>
    <n v="10"/>
    <n v="7"/>
    <x v="2"/>
    <x v="12"/>
  </r>
  <r>
    <x v="8"/>
    <x v="1"/>
    <x v="0"/>
    <n v="397"/>
    <x v="1"/>
    <x v="2"/>
    <n v="2"/>
    <x v="2"/>
    <n v="1"/>
    <n v="1638"/>
    <n v="4"/>
    <x v="0"/>
    <x v="60"/>
    <n v="2"/>
    <n v="3"/>
    <x v="3"/>
    <n v="3"/>
    <x v="1"/>
    <x v="751"/>
    <n v="14199"/>
    <n v="3"/>
    <s v="Y"/>
    <x v="0"/>
    <n v="19"/>
    <n v="3"/>
    <n v="4"/>
    <n v="80"/>
    <n v="1"/>
    <n v="10"/>
    <n v="6"/>
    <n v="4"/>
    <n v="5"/>
    <n v="4"/>
    <x v="0"/>
    <x v="3"/>
  </r>
  <r>
    <x v="10"/>
    <x v="0"/>
    <x v="0"/>
    <n v="737"/>
    <x v="0"/>
    <x v="17"/>
    <n v="3"/>
    <x v="2"/>
    <n v="1"/>
    <n v="1639"/>
    <n v="4"/>
    <x v="1"/>
    <x v="46"/>
    <n v="2"/>
    <n v="3"/>
    <x v="0"/>
    <n v="1"/>
    <x v="1"/>
    <x v="1076"/>
    <n v="21530"/>
    <n v="9"/>
    <s v="Y"/>
    <x v="1"/>
    <n v="17"/>
    <n v="3"/>
    <n v="3"/>
    <n v="80"/>
    <n v="0"/>
    <n v="15"/>
    <n v="3"/>
    <n v="3"/>
    <n v="13"/>
    <n v="12"/>
    <x v="7"/>
    <x v="2"/>
  </r>
  <r>
    <x v="2"/>
    <x v="1"/>
    <x v="0"/>
    <n v="1470"/>
    <x v="1"/>
    <x v="17"/>
    <n v="3"/>
    <x v="2"/>
    <n v="1"/>
    <n v="1640"/>
    <n v="2"/>
    <x v="0"/>
    <x v="36"/>
    <n v="3"/>
    <n v="1"/>
    <x v="1"/>
    <n v="2"/>
    <x v="1"/>
    <x v="1077"/>
    <n v="9953"/>
    <n v="1"/>
    <s v="Y"/>
    <x v="1"/>
    <n v="11"/>
    <n v="3"/>
    <n v="1"/>
    <n v="80"/>
    <n v="1"/>
    <n v="8"/>
    <n v="2"/>
    <n v="1"/>
    <n v="8"/>
    <n v="4"/>
    <x v="4"/>
    <x v="1"/>
  </r>
  <r>
    <x v="32"/>
    <x v="1"/>
    <x v="0"/>
    <n v="448"/>
    <x v="1"/>
    <x v="7"/>
    <n v="3"/>
    <x v="0"/>
    <n v="1"/>
    <n v="1641"/>
    <n v="3"/>
    <x v="0"/>
    <x v="9"/>
    <n v="3"/>
    <n v="3"/>
    <x v="3"/>
    <n v="4"/>
    <x v="0"/>
    <x v="1078"/>
    <n v="19948"/>
    <n v="6"/>
    <s v="Y"/>
    <x v="0"/>
    <n v="15"/>
    <n v="3"/>
    <n v="4"/>
    <n v="80"/>
    <n v="0"/>
    <n v="18"/>
    <n v="2"/>
    <n v="2"/>
    <n v="4"/>
    <n v="2"/>
    <x v="2"/>
    <x v="6"/>
  </r>
  <r>
    <x v="20"/>
    <x v="1"/>
    <x v="1"/>
    <n v="602"/>
    <x v="2"/>
    <x v="0"/>
    <n v="5"/>
    <x v="5"/>
    <n v="1"/>
    <n v="1642"/>
    <n v="1"/>
    <x v="1"/>
    <x v="31"/>
    <n v="3"/>
    <n v="2"/>
    <x v="8"/>
    <n v="4"/>
    <x v="1"/>
    <x v="1079"/>
    <n v="10503"/>
    <n v="4"/>
    <s v="Y"/>
    <x v="0"/>
    <n v="11"/>
    <n v="3"/>
    <n v="3"/>
    <n v="80"/>
    <n v="0"/>
    <n v="14"/>
    <n v="3"/>
    <n v="3"/>
    <n v="10"/>
    <n v="7"/>
    <x v="0"/>
    <x v="3"/>
  </r>
  <r>
    <x v="26"/>
    <x v="1"/>
    <x v="1"/>
    <n v="365"/>
    <x v="1"/>
    <x v="18"/>
    <n v="5"/>
    <x v="2"/>
    <n v="1"/>
    <n v="1644"/>
    <n v="3"/>
    <x v="1"/>
    <x v="66"/>
    <n v="2"/>
    <n v="4"/>
    <x v="5"/>
    <n v="4"/>
    <x v="1"/>
    <x v="1080"/>
    <n v="5602"/>
    <n v="2"/>
    <s v="Y"/>
    <x v="1"/>
    <n v="25"/>
    <n v="4"/>
    <n v="2"/>
    <n v="80"/>
    <n v="1"/>
    <n v="23"/>
    <n v="3"/>
    <n v="3"/>
    <n v="2"/>
    <n v="2"/>
    <x v="3"/>
    <x v="3"/>
  </r>
  <r>
    <x v="10"/>
    <x v="0"/>
    <x v="0"/>
    <n v="763"/>
    <x v="0"/>
    <x v="8"/>
    <n v="2"/>
    <x v="2"/>
    <n v="1"/>
    <n v="1645"/>
    <n v="1"/>
    <x v="1"/>
    <x v="40"/>
    <n v="1"/>
    <n v="2"/>
    <x v="0"/>
    <n v="4"/>
    <x v="2"/>
    <x v="1081"/>
    <n v="22098"/>
    <n v="6"/>
    <s v="Y"/>
    <x v="0"/>
    <n v="14"/>
    <n v="3"/>
    <n v="4"/>
    <n v="80"/>
    <n v="2"/>
    <n v="7"/>
    <n v="2"/>
    <n v="2"/>
    <n v="2"/>
    <n v="2"/>
    <x v="3"/>
    <x v="3"/>
  </r>
  <r>
    <x v="17"/>
    <x v="1"/>
    <x v="1"/>
    <n v="567"/>
    <x v="1"/>
    <x v="2"/>
    <n v="1"/>
    <x v="4"/>
    <n v="1"/>
    <n v="1646"/>
    <n v="1"/>
    <x v="0"/>
    <x v="47"/>
    <n v="3"/>
    <n v="1"/>
    <x v="1"/>
    <n v="4"/>
    <x v="0"/>
    <x v="841"/>
    <n v="17218"/>
    <n v="1"/>
    <s v="Y"/>
    <x v="0"/>
    <n v="13"/>
    <n v="3"/>
    <n v="3"/>
    <n v="80"/>
    <n v="0"/>
    <n v="6"/>
    <n v="2"/>
    <n v="3"/>
    <n v="6"/>
    <n v="3"/>
    <x v="1"/>
    <x v="6"/>
  </r>
  <r>
    <x v="4"/>
    <x v="1"/>
    <x v="0"/>
    <n v="486"/>
    <x v="1"/>
    <x v="1"/>
    <n v="3"/>
    <x v="2"/>
    <n v="1"/>
    <n v="1647"/>
    <n v="2"/>
    <x v="0"/>
    <x v="27"/>
    <n v="4"/>
    <n v="1"/>
    <x v="1"/>
    <n v="3"/>
    <x v="1"/>
    <x v="1082"/>
    <n v="22490"/>
    <n v="7"/>
    <s v="Y"/>
    <x v="1"/>
    <n v="17"/>
    <n v="3"/>
    <n v="1"/>
    <n v="80"/>
    <n v="0"/>
    <n v="5"/>
    <n v="0"/>
    <n v="3"/>
    <n v="3"/>
    <n v="2"/>
    <x v="0"/>
    <x v="3"/>
  </r>
  <r>
    <x v="4"/>
    <x v="1"/>
    <x v="1"/>
    <n v="591"/>
    <x v="1"/>
    <x v="2"/>
    <n v="3"/>
    <x v="2"/>
    <n v="1"/>
    <n v="1648"/>
    <n v="4"/>
    <x v="1"/>
    <x v="44"/>
    <n v="3"/>
    <n v="1"/>
    <x v="1"/>
    <n v="4"/>
    <x v="0"/>
    <x v="1083"/>
    <n v="6297"/>
    <n v="2"/>
    <s v="Y"/>
    <x v="1"/>
    <n v="13"/>
    <n v="3"/>
    <n v="3"/>
    <n v="80"/>
    <n v="0"/>
    <n v="6"/>
    <n v="0"/>
    <n v="2"/>
    <n v="4"/>
    <n v="2"/>
    <x v="1"/>
    <x v="3"/>
  </r>
  <r>
    <x v="32"/>
    <x v="0"/>
    <x v="0"/>
    <n v="1329"/>
    <x v="1"/>
    <x v="15"/>
    <n v="3"/>
    <x v="0"/>
    <n v="1"/>
    <n v="1649"/>
    <n v="1"/>
    <x v="1"/>
    <x v="32"/>
    <n v="3"/>
    <n v="1"/>
    <x v="2"/>
    <n v="1"/>
    <x v="0"/>
    <x v="1084"/>
    <n v="3339"/>
    <n v="3"/>
    <s v="Y"/>
    <x v="0"/>
    <n v="14"/>
    <n v="3"/>
    <n v="2"/>
    <n v="80"/>
    <n v="0"/>
    <n v="10"/>
    <n v="3"/>
    <n v="1"/>
    <n v="4"/>
    <n v="2"/>
    <x v="0"/>
    <x v="6"/>
  </r>
  <r>
    <x v="11"/>
    <x v="1"/>
    <x v="0"/>
    <n v="469"/>
    <x v="0"/>
    <x v="17"/>
    <n v="3"/>
    <x v="2"/>
    <n v="1"/>
    <n v="1650"/>
    <n v="3"/>
    <x v="1"/>
    <x v="25"/>
    <n v="2"/>
    <n v="2"/>
    <x v="0"/>
    <n v="3"/>
    <x v="0"/>
    <x v="1085"/>
    <n v="23413"/>
    <n v="9"/>
    <s v="Y"/>
    <x v="1"/>
    <n v="11"/>
    <n v="3"/>
    <n v="3"/>
    <n v="80"/>
    <n v="0"/>
    <n v="8"/>
    <n v="2"/>
    <n v="3"/>
    <n v="5"/>
    <n v="2"/>
    <x v="1"/>
    <x v="10"/>
  </r>
  <r>
    <x v="9"/>
    <x v="1"/>
    <x v="0"/>
    <n v="711"/>
    <x v="1"/>
    <x v="12"/>
    <n v="4"/>
    <x v="0"/>
    <n v="1"/>
    <n v="1651"/>
    <n v="2"/>
    <x v="0"/>
    <x v="25"/>
    <n v="3"/>
    <n v="3"/>
    <x v="4"/>
    <n v="1"/>
    <x v="1"/>
    <x v="1086"/>
    <n v="22792"/>
    <n v="4"/>
    <s v="Y"/>
    <x v="1"/>
    <n v="12"/>
    <n v="3"/>
    <n v="3"/>
    <n v="80"/>
    <n v="2"/>
    <n v="9"/>
    <n v="6"/>
    <n v="3"/>
    <n v="3"/>
    <n v="2"/>
    <x v="0"/>
    <x v="3"/>
  </r>
  <r>
    <x v="36"/>
    <x v="1"/>
    <x v="1"/>
    <n v="772"/>
    <x v="1"/>
    <x v="2"/>
    <n v="1"/>
    <x v="0"/>
    <n v="1"/>
    <n v="1653"/>
    <n v="4"/>
    <x v="1"/>
    <x v="57"/>
    <n v="4"/>
    <n v="2"/>
    <x v="3"/>
    <n v="3"/>
    <x v="2"/>
    <x v="1087"/>
    <n v="4973"/>
    <n v="1"/>
    <s v="Y"/>
    <x v="1"/>
    <n v="17"/>
    <n v="3"/>
    <n v="3"/>
    <n v="80"/>
    <n v="2"/>
    <n v="7"/>
    <n v="6"/>
    <n v="3"/>
    <n v="7"/>
    <n v="7"/>
    <x v="0"/>
    <x v="1"/>
  </r>
  <r>
    <x v="22"/>
    <x v="1"/>
    <x v="0"/>
    <n v="492"/>
    <x v="1"/>
    <x v="20"/>
    <n v="3"/>
    <x v="2"/>
    <n v="1"/>
    <n v="1654"/>
    <n v="4"/>
    <x v="1"/>
    <x v="45"/>
    <n v="3"/>
    <n v="2"/>
    <x v="3"/>
    <n v="2"/>
    <x v="1"/>
    <x v="1088"/>
    <n v="7693"/>
    <n v="4"/>
    <s v="Y"/>
    <x v="1"/>
    <n v="21"/>
    <n v="4"/>
    <n v="3"/>
    <n v="80"/>
    <n v="0"/>
    <n v="7"/>
    <n v="3"/>
    <n v="3"/>
    <n v="5"/>
    <n v="4"/>
    <x v="1"/>
    <x v="2"/>
  </r>
  <r>
    <x v="1"/>
    <x v="1"/>
    <x v="0"/>
    <n v="301"/>
    <x v="1"/>
    <x v="23"/>
    <n v="4"/>
    <x v="1"/>
    <n v="1"/>
    <n v="1655"/>
    <n v="1"/>
    <x v="0"/>
    <x v="23"/>
    <n v="3"/>
    <n v="4"/>
    <x v="7"/>
    <n v="2"/>
    <x v="1"/>
    <x v="1089"/>
    <n v="3498"/>
    <n v="3"/>
    <s v="Y"/>
    <x v="1"/>
    <n v="16"/>
    <n v="3"/>
    <n v="2"/>
    <n v="80"/>
    <n v="2"/>
    <n v="27"/>
    <n v="2"/>
    <n v="3"/>
    <n v="4"/>
    <n v="2"/>
    <x v="1"/>
    <x v="3"/>
  </r>
  <r>
    <x v="24"/>
    <x v="1"/>
    <x v="0"/>
    <n v="813"/>
    <x v="1"/>
    <x v="27"/>
    <n v="5"/>
    <x v="0"/>
    <n v="1"/>
    <n v="1656"/>
    <n v="4"/>
    <x v="0"/>
    <x v="13"/>
    <n v="2"/>
    <n v="3"/>
    <x v="7"/>
    <n v="1"/>
    <x v="2"/>
    <x v="1090"/>
    <n v="21981"/>
    <n v="5"/>
    <s v="Y"/>
    <x v="1"/>
    <n v="15"/>
    <n v="3"/>
    <n v="3"/>
    <n v="80"/>
    <n v="3"/>
    <n v="19"/>
    <n v="3"/>
    <n v="3"/>
    <n v="14"/>
    <n v="11"/>
    <x v="1"/>
    <x v="7"/>
  </r>
  <r>
    <x v="35"/>
    <x v="1"/>
    <x v="0"/>
    <n v="1141"/>
    <x v="0"/>
    <x v="2"/>
    <n v="3"/>
    <x v="2"/>
    <n v="1"/>
    <n v="1657"/>
    <n v="3"/>
    <x v="0"/>
    <x v="11"/>
    <n v="3"/>
    <n v="1"/>
    <x v="6"/>
    <n v="3"/>
    <x v="0"/>
    <x v="1091"/>
    <n v="13251"/>
    <n v="1"/>
    <s v="Y"/>
    <x v="1"/>
    <n v="19"/>
    <n v="3"/>
    <n v="1"/>
    <n v="80"/>
    <n v="0"/>
    <n v="2"/>
    <n v="3"/>
    <n v="3"/>
    <n v="2"/>
    <n v="2"/>
    <x v="3"/>
    <x v="3"/>
  </r>
  <r>
    <x v="13"/>
    <x v="1"/>
    <x v="0"/>
    <n v="1130"/>
    <x v="1"/>
    <x v="3"/>
    <n v="3"/>
    <x v="0"/>
    <n v="1"/>
    <n v="1658"/>
    <n v="4"/>
    <x v="0"/>
    <x v="45"/>
    <n v="3"/>
    <n v="2"/>
    <x v="1"/>
    <n v="2"/>
    <x v="2"/>
    <x v="1092"/>
    <n v="19332"/>
    <n v="1"/>
    <s v="Y"/>
    <x v="1"/>
    <n v="12"/>
    <n v="3"/>
    <n v="3"/>
    <n v="80"/>
    <n v="1"/>
    <n v="11"/>
    <n v="2"/>
    <n v="3"/>
    <n v="11"/>
    <n v="8"/>
    <x v="4"/>
    <x v="12"/>
  </r>
  <r>
    <x v="9"/>
    <x v="1"/>
    <x v="0"/>
    <n v="311"/>
    <x v="1"/>
    <x v="15"/>
    <n v="3"/>
    <x v="0"/>
    <n v="1"/>
    <n v="1659"/>
    <n v="1"/>
    <x v="1"/>
    <x v="57"/>
    <n v="3"/>
    <n v="1"/>
    <x v="2"/>
    <n v="2"/>
    <x v="0"/>
    <x v="1093"/>
    <n v="10950"/>
    <n v="2"/>
    <s v="Y"/>
    <x v="1"/>
    <n v="11"/>
    <n v="3"/>
    <n v="3"/>
    <n v="80"/>
    <n v="0"/>
    <n v="15"/>
    <n v="4"/>
    <n v="3"/>
    <n v="4"/>
    <n v="3"/>
    <x v="1"/>
    <x v="6"/>
  </r>
  <r>
    <x v="1"/>
    <x v="1"/>
    <x v="0"/>
    <n v="465"/>
    <x v="1"/>
    <x v="16"/>
    <n v="1"/>
    <x v="0"/>
    <n v="1"/>
    <n v="1661"/>
    <n v="3"/>
    <x v="0"/>
    <x v="26"/>
    <n v="2"/>
    <n v="4"/>
    <x v="4"/>
    <n v="3"/>
    <x v="1"/>
    <x v="1094"/>
    <n v="11652"/>
    <n v="2"/>
    <s v="Y"/>
    <x v="0"/>
    <n v="19"/>
    <n v="3"/>
    <n v="2"/>
    <n v="80"/>
    <n v="1"/>
    <n v="30"/>
    <n v="3"/>
    <n v="3"/>
    <n v="15"/>
    <n v="11"/>
    <x v="3"/>
    <x v="11"/>
  </r>
  <r>
    <x v="9"/>
    <x v="1"/>
    <x v="2"/>
    <n v="894"/>
    <x v="1"/>
    <x v="0"/>
    <n v="4"/>
    <x v="2"/>
    <n v="1"/>
    <n v="1662"/>
    <n v="4"/>
    <x v="0"/>
    <x v="30"/>
    <n v="2"/>
    <n v="2"/>
    <x v="3"/>
    <n v="3"/>
    <x v="1"/>
    <x v="1095"/>
    <n v="15411"/>
    <n v="0"/>
    <s v="Y"/>
    <x v="1"/>
    <n v="15"/>
    <n v="3"/>
    <n v="3"/>
    <n v="80"/>
    <n v="0"/>
    <n v="4"/>
    <n v="6"/>
    <n v="3"/>
    <n v="3"/>
    <n v="2"/>
    <x v="1"/>
    <x v="3"/>
  </r>
  <r>
    <x v="9"/>
    <x v="1"/>
    <x v="0"/>
    <n v="1040"/>
    <x v="1"/>
    <x v="3"/>
    <n v="2"/>
    <x v="0"/>
    <n v="1"/>
    <n v="1664"/>
    <n v="4"/>
    <x v="1"/>
    <x v="5"/>
    <n v="4"/>
    <n v="2"/>
    <x v="4"/>
    <n v="1"/>
    <x v="2"/>
    <x v="1096"/>
    <n v="26308"/>
    <n v="6"/>
    <s v="Y"/>
    <x v="1"/>
    <n v="20"/>
    <n v="4"/>
    <n v="1"/>
    <n v="80"/>
    <n v="1"/>
    <n v="13"/>
    <n v="3"/>
    <n v="3"/>
    <n v="5"/>
    <n v="4"/>
    <x v="0"/>
    <x v="10"/>
  </r>
  <r>
    <x v="33"/>
    <x v="1"/>
    <x v="0"/>
    <n v="584"/>
    <x v="1"/>
    <x v="23"/>
    <n v="5"/>
    <x v="2"/>
    <n v="1"/>
    <n v="1665"/>
    <n v="2"/>
    <x v="0"/>
    <x v="59"/>
    <n v="3"/>
    <n v="4"/>
    <x v="5"/>
    <n v="3"/>
    <x v="1"/>
    <x v="1097"/>
    <n v="18685"/>
    <n v="3"/>
    <s v="Y"/>
    <x v="1"/>
    <n v="25"/>
    <n v="4"/>
    <n v="3"/>
    <n v="80"/>
    <n v="1"/>
    <n v="36"/>
    <n v="6"/>
    <n v="3"/>
    <n v="10"/>
    <n v="8"/>
    <x v="5"/>
    <x v="1"/>
  </r>
  <r>
    <x v="23"/>
    <x v="1"/>
    <x v="0"/>
    <n v="1291"/>
    <x v="1"/>
    <x v="8"/>
    <n v="2"/>
    <x v="0"/>
    <n v="1"/>
    <n v="1666"/>
    <n v="3"/>
    <x v="1"/>
    <x v="63"/>
    <n v="2"/>
    <n v="4"/>
    <x v="7"/>
    <n v="3"/>
    <x v="1"/>
    <x v="1098"/>
    <n v="3525"/>
    <n v="1"/>
    <s v="Y"/>
    <x v="1"/>
    <n v="24"/>
    <n v="4"/>
    <n v="1"/>
    <n v="80"/>
    <n v="1"/>
    <n v="14"/>
    <n v="3"/>
    <n v="3"/>
    <n v="14"/>
    <n v="10"/>
    <x v="7"/>
    <x v="7"/>
  </r>
  <r>
    <x v="10"/>
    <x v="0"/>
    <x v="1"/>
    <n v="880"/>
    <x v="0"/>
    <x v="20"/>
    <n v="4"/>
    <x v="1"/>
    <n v="1"/>
    <n v="1667"/>
    <n v="4"/>
    <x v="1"/>
    <x v="34"/>
    <n v="3"/>
    <n v="2"/>
    <x v="0"/>
    <n v="4"/>
    <x v="0"/>
    <x v="1099"/>
    <n v="10414"/>
    <n v="3"/>
    <s v="Y"/>
    <x v="0"/>
    <n v="24"/>
    <n v="4"/>
    <n v="1"/>
    <n v="80"/>
    <n v="0"/>
    <n v="13"/>
    <n v="2"/>
    <n v="4"/>
    <n v="11"/>
    <n v="9"/>
    <x v="7"/>
    <x v="1"/>
  </r>
  <r>
    <x v="8"/>
    <x v="1"/>
    <x v="1"/>
    <n v="1189"/>
    <x v="1"/>
    <x v="0"/>
    <n v="3"/>
    <x v="0"/>
    <n v="1"/>
    <n v="1668"/>
    <n v="4"/>
    <x v="1"/>
    <x v="62"/>
    <n v="3"/>
    <n v="2"/>
    <x v="1"/>
    <n v="4"/>
    <x v="1"/>
    <x v="1100"/>
    <n v="9867"/>
    <n v="7"/>
    <s v="Y"/>
    <x v="1"/>
    <n v="15"/>
    <n v="3"/>
    <n v="4"/>
    <n v="80"/>
    <n v="2"/>
    <n v="19"/>
    <n v="4"/>
    <n v="4"/>
    <n v="13"/>
    <n v="11"/>
    <x v="3"/>
    <x v="12"/>
  </r>
  <r>
    <x v="11"/>
    <x v="1"/>
    <x v="0"/>
    <n v="991"/>
    <x v="0"/>
    <x v="12"/>
    <n v="3"/>
    <x v="2"/>
    <n v="1"/>
    <n v="1669"/>
    <n v="1"/>
    <x v="1"/>
    <x v="38"/>
    <n v="2"/>
    <n v="2"/>
    <x v="0"/>
    <n v="2"/>
    <x v="2"/>
    <x v="1101"/>
    <n v="3356"/>
    <n v="1"/>
    <s v="Y"/>
    <x v="0"/>
    <n v="13"/>
    <n v="3"/>
    <n v="2"/>
    <n v="80"/>
    <n v="1"/>
    <n v="10"/>
    <n v="3"/>
    <n v="2"/>
    <n v="10"/>
    <n v="0"/>
    <x v="0"/>
    <x v="12"/>
  </r>
  <r>
    <x v="3"/>
    <x v="1"/>
    <x v="0"/>
    <n v="392"/>
    <x v="0"/>
    <x v="2"/>
    <n v="4"/>
    <x v="2"/>
    <n v="1"/>
    <n v="1670"/>
    <n v="4"/>
    <x v="1"/>
    <x v="12"/>
    <n v="3"/>
    <n v="2"/>
    <x v="0"/>
    <n v="4"/>
    <x v="2"/>
    <x v="1102"/>
    <n v="3921"/>
    <n v="1"/>
    <s v="Y"/>
    <x v="1"/>
    <n v="14"/>
    <n v="3"/>
    <n v="3"/>
    <n v="80"/>
    <n v="2"/>
    <n v="6"/>
    <n v="5"/>
    <n v="3"/>
    <n v="6"/>
    <n v="2"/>
    <x v="0"/>
    <x v="10"/>
  </r>
  <r>
    <x v="5"/>
    <x v="1"/>
    <x v="0"/>
    <n v="977"/>
    <x v="1"/>
    <x v="2"/>
    <n v="3"/>
    <x v="2"/>
    <n v="1"/>
    <n v="1671"/>
    <n v="4"/>
    <x v="1"/>
    <x v="18"/>
    <n v="3"/>
    <n v="2"/>
    <x v="1"/>
    <n v="2"/>
    <x v="2"/>
    <x v="1103"/>
    <n v="25518"/>
    <n v="0"/>
    <s v="Y"/>
    <x v="1"/>
    <n v="13"/>
    <n v="3"/>
    <n v="3"/>
    <n v="80"/>
    <n v="2"/>
    <n v="10"/>
    <n v="4"/>
    <n v="2"/>
    <n v="9"/>
    <n v="5"/>
    <x v="1"/>
    <x v="4"/>
  </r>
  <r>
    <x v="12"/>
    <x v="1"/>
    <x v="0"/>
    <n v="1112"/>
    <x v="0"/>
    <x v="12"/>
    <n v="4"/>
    <x v="0"/>
    <n v="1"/>
    <n v="1673"/>
    <n v="1"/>
    <x v="0"/>
    <x v="7"/>
    <n v="3"/>
    <n v="2"/>
    <x v="0"/>
    <n v="4"/>
    <x v="1"/>
    <x v="1104"/>
    <n v="22589"/>
    <n v="1"/>
    <s v="Y"/>
    <x v="1"/>
    <n v="11"/>
    <n v="3"/>
    <n v="1"/>
    <n v="80"/>
    <n v="2"/>
    <n v="10"/>
    <n v="2"/>
    <n v="3"/>
    <n v="10"/>
    <n v="0"/>
    <x v="0"/>
    <x v="3"/>
  </r>
  <r>
    <x v="1"/>
    <x v="1"/>
    <x v="0"/>
    <n v="464"/>
    <x v="1"/>
    <x v="7"/>
    <n v="3"/>
    <x v="2"/>
    <n v="1"/>
    <n v="1674"/>
    <n v="4"/>
    <x v="0"/>
    <x v="69"/>
    <n v="3"/>
    <n v="1"/>
    <x v="2"/>
    <n v="1"/>
    <x v="2"/>
    <x v="1105"/>
    <n v="24941"/>
    <n v="4"/>
    <s v="Y"/>
    <x v="0"/>
    <n v="16"/>
    <n v="3"/>
    <n v="2"/>
    <n v="80"/>
    <n v="1"/>
    <n v="17"/>
    <n v="2"/>
    <n v="2"/>
    <n v="2"/>
    <n v="2"/>
    <x v="3"/>
    <x v="3"/>
  </r>
  <r>
    <x v="8"/>
    <x v="1"/>
    <x v="1"/>
    <n v="148"/>
    <x v="1"/>
    <x v="2"/>
    <n v="3"/>
    <x v="2"/>
    <n v="1"/>
    <n v="1675"/>
    <n v="4"/>
    <x v="0"/>
    <x v="25"/>
    <n v="2"/>
    <n v="1"/>
    <x v="2"/>
    <n v="2"/>
    <x v="0"/>
    <x v="1106"/>
    <n v="23826"/>
    <n v="1"/>
    <s v="Y"/>
    <x v="1"/>
    <n v="22"/>
    <n v="4"/>
    <n v="2"/>
    <n v="80"/>
    <n v="0"/>
    <n v="4"/>
    <n v="3"/>
    <n v="3"/>
    <n v="4"/>
    <n v="3"/>
    <x v="2"/>
    <x v="6"/>
  </r>
  <r>
    <x v="40"/>
    <x v="1"/>
    <x v="0"/>
    <n v="1225"/>
    <x v="0"/>
    <x v="2"/>
    <n v="4"/>
    <x v="0"/>
    <n v="1"/>
    <n v="1676"/>
    <n v="2"/>
    <x v="0"/>
    <x v="35"/>
    <n v="4"/>
    <n v="4"/>
    <x v="5"/>
    <n v="2"/>
    <x v="2"/>
    <x v="1107"/>
    <n v="21086"/>
    <n v="6"/>
    <s v="Y"/>
    <x v="1"/>
    <n v="14"/>
    <n v="3"/>
    <n v="3"/>
    <n v="80"/>
    <n v="3"/>
    <n v="29"/>
    <n v="2"/>
    <n v="3"/>
    <n v="3"/>
    <n v="2"/>
    <x v="1"/>
    <x v="3"/>
  </r>
  <r>
    <x v="1"/>
    <x v="1"/>
    <x v="0"/>
    <n v="809"/>
    <x v="1"/>
    <x v="0"/>
    <n v="3"/>
    <x v="0"/>
    <n v="1"/>
    <n v="1677"/>
    <n v="3"/>
    <x v="1"/>
    <x v="34"/>
    <n v="3"/>
    <n v="4"/>
    <x v="5"/>
    <n v="3"/>
    <x v="0"/>
    <x v="1108"/>
    <n v="22384"/>
    <n v="4"/>
    <s v="Y"/>
    <x v="1"/>
    <n v="14"/>
    <n v="3"/>
    <n v="1"/>
    <n v="80"/>
    <n v="0"/>
    <n v="23"/>
    <n v="2"/>
    <n v="3"/>
    <n v="8"/>
    <n v="7"/>
    <x v="0"/>
    <x v="2"/>
  </r>
  <r>
    <x v="0"/>
    <x v="1"/>
    <x v="0"/>
    <n v="1206"/>
    <x v="0"/>
    <x v="5"/>
    <n v="2"/>
    <x v="0"/>
    <n v="1"/>
    <n v="1678"/>
    <n v="4"/>
    <x v="1"/>
    <x v="15"/>
    <n v="3"/>
    <n v="3"/>
    <x v="0"/>
    <n v="3"/>
    <x v="0"/>
    <x v="1109"/>
    <n v="11591"/>
    <n v="3"/>
    <s v="Y"/>
    <x v="0"/>
    <n v="16"/>
    <n v="3"/>
    <n v="4"/>
    <n v="80"/>
    <n v="0"/>
    <n v="21"/>
    <n v="2"/>
    <n v="3"/>
    <n v="2"/>
    <n v="0"/>
    <x v="0"/>
    <x v="3"/>
  </r>
  <r>
    <x v="35"/>
    <x v="1"/>
    <x v="0"/>
    <n v="727"/>
    <x v="0"/>
    <x v="14"/>
    <n v="1"/>
    <x v="0"/>
    <n v="1"/>
    <n v="1680"/>
    <n v="4"/>
    <x v="1"/>
    <x v="60"/>
    <n v="3"/>
    <n v="1"/>
    <x v="6"/>
    <n v="1"/>
    <x v="0"/>
    <x v="1110"/>
    <n v="21082"/>
    <n v="1"/>
    <s v="Y"/>
    <x v="1"/>
    <n v="11"/>
    <n v="3"/>
    <n v="1"/>
    <n v="80"/>
    <n v="0"/>
    <n v="2"/>
    <n v="3"/>
    <n v="3"/>
    <n v="2"/>
    <n v="2"/>
    <x v="0"/>
    <x v="3"/>
  </r>
  <r>
    <x v="3"/>
    <x v="1"/>
    <x v="2"/>
    <n v="530"/>
    <x v="0"/>
    <x v="7"/>
    <n v="3"/>
    <x v="0"/>
    <n v="1"/>
    <n v="1681"/>
    <n v="3"/>
    <x v="0"/>
    <x v="34"/>
    <n v="3"/>
    <n v="2"/>
    <x v="0"/>
    <n v="4"/>
    <x v="2"/>
    <x v="1111"/>
    <n v="16130"/>
    <n v="1"/>
    <s v="Y"/>
    <x v="0"/>
    <n v="25"/>
    <n v="4"/>
    <n v="3"/>
    <n v="80"/>
    <n v="1"/>
    <n v="7"/>
    <n v="2"/>
    <n v="3"/>
    <n v="6"/>
    <n v="5"/>
    <x v="1"/>
    <x v="3"/>
  </r>
  <r>
    <x v="9"/>
    <x v="1"/>
    <x v="0"/>
    <n v="1351"/>
    <x v="1"/>
    <x v="9"/>
    <n v="4"/>
    <x v="0"/>
    <n v="1"/>
    <n v="1682"/>
    <n v="1"/>
    <x v="1"/>
    <x v="15"/>
    <n v="3"/>
    <n v="2"/>
    <x v="4"/>
    <n v="3"/>
    <x v="1"/>
    <x v="1112"/>
    <n v="7419"/>
    <n v="6"/>
    <s v="Y"/>
    <x v="1"/>
    <n v="14"/>
    <n v="3"/>
    <n v="2"/>
    <n v="80"/>
    <n v="2"/>
    <n v="10"/>
    <n v="2"/>
    <n v="2"/>
    <n v="3"/>
    <n v="2"/>
    <x v="0"/>
    <x v="3"/>
  </r>
  <r>
    <x v="20"/>
    <x v="1"/>
    <x v="0"/>
    <n v="528"/>
    <x v="2"/>
    <x v="0"/>
    <n v="3"/>
    <x v="0"/>
    <n v="1"/>
    <n v="1683"/>
    <n v="3"/>
    <x v="0"/>
    <x v="8"/>
    <n v="3"/>
    <n v="1"/>
    <x v="8"/>
    <n v="4"/>
    <x v="2"/>
    <x v="1113"/>
    <n v="4167"/>
    <n v="4"/>
    <s v="Y"/>
    <x v="0"/>
    <n v="18"/>
    <n v="3"/>
    <n v="1"/>
    <n v="80"/>
    <n v="3"/>
    <n v="8"/>
    <n v="2"/>
    <n v="3"/>
    <n v="2"/>
    <n v="2"/>
    <x v="3"/>
    <x v="3"/>
  </r>
  <r>
    <x v="30"/>
    <x v="0"/>
    <x v="0"/>
    <n v="1320"/>
    <x v="1"/>
    <x v="1"/>
    <n v="1"/>
    <x v="2"/>
    <n v="1"/>
    <n v="1684"/>
    <n v="4"/>
    <x v="1"/>
    <x v="12"/>
    <n v="2"/>
    <n v="1"/>
    <x v="2"/>
    <n v="3"/>
    <x v="0"/>
    <x v="1114"/>
    <n v="20586"/>
    <n v="1"/>
    <s v="Y"/>
    <x v="0"/>
    <n v="11"/>
    <n v="3"/>
    <n v="1"/>
    <n v="80"/>
    <n v="0"/>
    <n v="5"/>
    <n v="2"/>
    <n v="3"/>
    <n v="5"/>
    <n v="4"/>
    <x v="1"/>
    <x v="3"/>
  </r>
  <r>
    <x v="8"/>
    <x v="1"/>
    <x v="0"/>
    <n v="1495"/>
    <x v="1"/>
    <x v="18"/>
    <n v="2"/>
    <x v="2"/>
    <n v="1"/>
    <n v="1687"/>
    <n v="4"/>
    <x v="0"/>
    <x v="44"/>
    <n v="3"/>
    <n v="1"/>
    <x v="2"/>
    <n v="3"/>
    <x v="1"/>
    <x v="1115"/>
    <n v="26176"/>
    <n v="7"/>
    <s v="Y"/>
    <x v="1"/>
    <n v="19"/>
    <n v="3"/>
    <n v="4"/>
    <n v="80"/>
    <n v="1"/>
    <n v="7"/>
    <n v="5"/>
    <n v="2"/>
    <n v="0"/>
    <n v="0"/>
    <x v="0"/>
    <x v="2"/>
  </r>
  <r>
    <x v="16"/>
    <x v="1"/>
    <x v="0"/>
    <n v="1395"/>
    <x v="1"/>
    <x v="4"/>
    <n v="4"/>
    <x v="2"/>
    <n v="1"/>
    <n v="1689"/>
    <n v="2"/>
    <x v="1"/>
    <x v="24"/>
    <n v="4"/>
    <n v="3"/>
    <x v="4"/>
    <n v="4"/>
    <x v="1"/>
    <x v="1116"/>
    <n v="3458"/>
    <n v="3"/>
    <s v="Y"/>
    <x v="1"/>
    <n v="15"/>
    <n v="3"/>
    <n v="3"/>
    <n v="80"/>
    <n v="0"/>
    <n v="11"/>
    <n v="2"/>
    <n v="3"/>
    <n v="4"/>
    <n v="3"/>
    <x v="1"/>
    <x v="3"/>
  </r>
  <r>
    <x v="26"/>
    <x v="0"/>
    <x v="1"/>
    <n v="708"/>
    <x v="0"/>
    <x v="15"/>
    <n v="2"/>
    <x v="2"/>
    <n v="1"/>
    <n v="1691"/>
    <n v="4"/>
    <x v="0"/>
    <x v="41"/>
    <n v="3"/>
    <n v="1"/>
    <x v="6"/>
    <n v="3"/>
    <x v="1"/>
    <x v="1117"/>
    <n v="11740"/>
    <n v="2"/>
    <s v="Y"/>
    <x v="0"/>
    <n v="11"/>
    <n v="3"/>
    <n v="3"/>
    <n v="80"/>
    <n v="2"/>
    <n v="19"/>
    <n v="3"/>
    <n v="3"/>
    <n v="9"/>
    <n v="7"/>
    <x v="4"/>
    <x v="1"/>
  </r>
  <r>
    <x v="5"/>
    <x v="0"/>
    <x v="0"/>
    <n v="1259"/>
    <x v="1"/>
    <x v="2"/>
    <n v="4"/>
    <x v="0"/>
    <n v="1"/>
    <n v="1692"/>
    <n v="4"/>
    <x v="1"/>
    <x v="41"/>
    <n v="3"/>
    <n v="1"/>
    <x v="2"/>
    <n v="2"/>
    <x v="0"/>
    <x v="1118"/>
    <n v="24852"/>
    <n v="1"/>
    <s v="Y"/>
    <x v="1"/>
    <n v="12"/>
    <n v="3"/>
    <n v="1"/>
    <n v="80"/>
    <n v="0"/>
    <n v="1"/>
    <n v="2"/>
    <n v="3"/>
    <n v="1"/>
    <n v="0"/>
    <x v="0"/>
    <x v="2"/>
  </r>
  <r>
    <x v="25"/>
    <x v="1"/>
    <x v="2"/>
    <n v="786"/>
    <x v="1"/>
    <x v="15"/>
    <n v="3"/>
    <x v="2"/>
    <n v="1"/>
    <n v="1693"/>
    <n v="4"/>
    <x v="1"/>
    <x v="43"/>
    <n v="3"/>
    <n v="1"/>
    <x v="2"/>
    <n v="4"/>
    <x v="0"/>
    <x v="1119"/>
    <n v="11925"/>
    <n v="1"/>
    <s v="Y"/>
    <x v="1"/>
    <n v="20"/>
    <n v="4"/>
    <n v="3"/>
    <n v="80"/>
    <n v="0"/>
    <n v="7"/>
    <n v="5"/>
    <n v="3"/>
    <n v="7"/>
    <n v="7"/>
    <x v="8"/>
    <x v="1"/>
  </r>
  <r>
    <x v="27"/>
    <x v="1"/>
    <x v="0"/>
    <n v="1441"/>
    <x v="1"/>
    <x v="23"/>
    <n v="3"/>
    <x v="4"/>
    <n v="1"/>
    <n v="1694"/>
    <n v="1"/>
    <x v="1"/>
    <x v="0"/>
    <n v="2"/>
    <n v="1"/>
    <x v="1"/>
    <n v="2"/>
    <x v="2"/>
    <x v="1120"/>
    <n v="23737"/>
    <n v="5"/>
    <s v="Y"/>
    <x v="1"/>
    <n v="12"/>
    <n v="3"/>
    <n v="4"/>
    <n v="80"/>
    <n v="1"/>
    <n v="8"/>
    <n v="1"/>
    <n v="3"/>
    <n v="4"/>
    <n v="2"/>
    <x v="1"/>
    <x v="3"/>
  </r>
  <r>
    <x v="13"/>
    <x v="1"/>
    <x v="0"/>
    <n v="1157"/>
    <x v="1"/>
    <x v="12"/>
    <n v="2"/>
    <x v="2"/>
    <n v="1"/>
    <n v="1696"/>
    <n v="2"/>
    <x v="1"/>
    <x v="42"/>
    <n v="2"/>
    <n v="2"/>
    <x v="2"/>
    <n v="4"/>
    <x v="1"/>
    <x v="1121"/>
    <n v="11912"/>
    <n v="1"/>
    <s v="Y"/>
    <x v="1"/>
    <n v="14"/>
    <n v="3"/>
    <n v="3"/>
    <n v="80"/>
    <n v="1"/>
    <n v="15"/>
    <n v="3"/>
    <n v="4"/>
    <n v="15"/>
    <n v="10"/>
    <x v="5"/>
    <x v="15"/>
  </r>
  <r>
    <x v="42"/>
    <x v="1"/>
    <x v="0"/>
    <n v="370"/>
    <x v="1"/>
    <x v="0"/>
    <n v="4"/>
    <x v="2"/>
    <n v="1"/>
    <n v="1697"/>
    <n v="3"/>
    <x v="1"/>
    <x v="2"/>
    <n v="1"/>
    <n v="3"/>
    <x v="4"/>
    <n v="4"/>
    <x v="2"/>
    <x v="1122"/>
    <n v="20467"/>
    <n v="3"/>
    <s v="Y"/>
    <x v="1"/>
    <n v="20"/>
    <n v="4"/>
    <n v="3"/>
    <n v="80"/>
    <n v="1"/>
    <n v="19"/>
    <n v="2"/>
    <n v="4"/>
    <n v="1"/>
    <n v="0"/>
    <x v="0"/>
    <x v="2"/>
  </r>
  <r>
    <x v="3"/>
    <x v="1"/>
    <x v="0"/>
    <n v="267"/>
    <x v="1"/>
    <x v="11"/>
    <n v="3"/>
    <x v="2"/>
    <n v="1"/>
    <n v="1698"/>
    <n v="2"/>
    <x v="1"/>
    <x v="5"/>
    <n v="4"/>
    <n v="1"/>
    <x v="2"/>
    <n v="2"/>
    <x v="1"/>
    <x v="14"/>
    <n v="13637"/>
    <n v="1"/>
    <s v="Y"/>
    <x v="1"/>
    <n v="18"/>
    <n v="3"/>
    <n v="4"/>
    <n v="80"/>
    <n v="3"/>
    <n v="14"/>
    <n v="6"/>
    <n v="3"/>
    <n v="14"/>
    <n v="11"/>
    <x v="3"/>
    <x v="15"/>
  </r>
  <r>
    <x v="2"/>
    <x v="1"/>
    <x v="1"/>
    <n v="1278"/>
    <x v="0"/>
    <x v="0"/>
    <n v="4"/>
    <x v="2"/>
    <n v="1"/>
    <n v="1700"/>
    <n v="3"/>
    <x v="1"/>
    <x v="11"/>
    <n v="1"/>
    <n v="2"/>
    <x v="0"/>
    <n v="4"/>
    <x v="2"/>
    <x v="1123"/>
    <n v="7677"/>
    <n v="1"/>
    <s v="Y"/>
    <x v="1"/>
    <n v="14"/>
    <n v="3"/>
    <n v="3"/>
    <n v="80"/>
    <n v="2"/>
    <n v="6"/>
    <n v="2"/>
    <n v="2"/>
    <n v="6"/>
    <n v="3"/>
    <x v="1"/>
    <x v="6"/>
  </r>
  <r>
    <x v="13"/>
    <x v="1"/>
    <x v="0"/>
    <n v="678"/>
    <x v="1"/>
    <x v="10"/>
    <n v="3"/>
    <x v="0"/>
    <n v="1"/>
    <n v="1701"/>
    <n v="2"/>
    <x v="0"/>
    <x v="58"/>
    <n v="2"/>
    <n v="1"/>
    <x v="1"/>
    <n v="4"/>
    <x v="1"/>
    <x v="1124"/>
    <n v="20338"/>
    <n v="1"/>
    <s v="Y"/>
    <x v="1"/>
    <n v="12"/>
    <n v="3"/>
    <n v="2"/>
    <n v="80"/>
    <n v="0"/>
    <n v="10"/>
    <n v="3"/>
    <n v="3"/>
    <n v="10"/>
    <n v="9"/>
    <x v="6"/>
    <x v="1"/>
  </r>
  <r>
    <x v="30"/>
    <x v="0"/>
    <x v="0"/>
    <n v="427"/>
    <x v="0"/>
    <x v="15"/>
    <n v="3"/>
    <x v="0"/>
    <n v="1"/>
    <n v="1702"/>
    <n v="3"/>
    <x v="1"/>
    <x v="39"/>
    <n v="3"/>
    <n v="1"/>
    <x v="6"/>
    <n v="4"/>
    <x v="2"/>
    <x v="1125"/>
    <n v="25103"/>
    <n v="1"/>
    <s v="Y"/>
    <x v="0"/>
    <n v="21"/>
    <n v="4"/>
    <n v="2"/>
    <n v="80"/>
    <n v="1"/>
    <n v="3"/>
    <n v="2"/>
    <n v="3"/>
    <n v="3"/>
    <n v="2"/>
    <x v="0"/>
    <x v="3"/>
  </r>
  <r>
    <x v="20"/>
    <x v="1"/>
    <x v="0"/>
    <n v="921"/>
    <x v="1"/>
    <x v="2"/>
    <n v="3"/>
    <x v="0"/>
    <n v="1"/>
    <n v="1703"/>
    <n v="3"/>
    <x v="0"/>
    <x v="16"/>
    <n v="4"/>
    <n v="3"/>
    <x v="4"/>
    <n v="4"/>
    <x v="1"/>
    <x v="1126"/>
    <n v="14810"/>
    <n v="1"/>
    <s v="Y"/>
    <x v="0"/>
    <n v="19"/>
    <n v="3"/>
    <n v="2"/>
    <n v="80"/>
    <n v="1"/>
    <n v="9"/>
    <n v="2"/>
    <n v="3"/>
    <n v="8"/>
    <n v="7"/>
    <x v="7"/>
    <x v="1"/>
  </r>
  <r>
    <x v="10"/>
    <x v="1"/>
    <x v="1"/>
    <n v="146"/>
    <x v="1"/>
    <x v="2"/>
    <n v="4"/>
    <x v="2"/>
    <n v="1"/>
    <n v="1704"/>
    <n v="1"/>
    <x v="1"/>
    <x v="5"/>
    <n v="2"/>
    <n v="1"/>
    <x v="1"/>
    <n v="4"/>
    <x v="0"/>
    <x v="1127"/>
    <n v="13970"/>
    <n v="0"/>
    <s v="Y"/>
    <x v="0"/>
    <n v="14"/>
    <n v="3"/>
    <n v="3"/>
    <n v="80"/>
    <n v="0"/>
    <n v="6"/>
    <n v="2"/>
    <n v="4"/>
    <n v="5"/>
    <n v="4"/>
    <x v="1"/>
    <x v="10"/>
  </r>
  <r>
    <x v="23"/>
    <x v="1"/>
    <x v="0"/>
    <n v="1179"/>
    <x v="0"/>
    <x v="2"/>
    <n v="3"/>
    <x v="2"/>
    <n v="1"/>
    <n v="1706"/>
    <n v="4"/>
    <x v="1"/>
    <x v="32"/>
    <n v="3"/>
    <n v="2"/>
    <x v="0"/>
    <n v="4"/>
    <x v="1"/>
    <x v="1128"/>
    <n v="6069"/>
    <n v="1"/>
    <s v="Y"/>
    <x v="0"/>
    <n v="17"/>
    <n v="3"/>
    <n v="1"/>
    <n v="80"/>
    <n v="1"/>
    <n v="10"/>
    <n v="3"/>
    <n v="3"/>
    <n v="10"/>
    <n v="9"/>
    <x v="6"/>
    <x v="5"/>
  </r>
  <r>
    <x v="17"/>
    <x v="1"/>
    <x v="0"/>
    <n v="581"/>
    <x v="1"/>
    <x v="14"/>
    <n v="3"/>
    <x v="2"/>
    <n v="1"/>
    <n v="1707"/>
    <n v="3"/>
    <x v="1"/>
    <x v="50"/>
    <n v="4"/>
    <n v="1"/>
    <x v="1"/>
    <n v="3"/>
    <x v="1"/>
    <x v="1129"/>
    <n v="17616"/>
    <n v="1"/>
    <s v="Y"/>
    <x v="1"/>
    <n v="16"/>
    <n v="3"/>
    <n v="4"/>
    <n v="80"/>
    <n v="1"/>
    <n v="5"/>
    <n v="1"/>
    <n v="3"/>
    <n v="5"/>
    <n v="3"/>
    <x v="0"/>
    <x v="10"/>
  </r>
  <r>
    <x v="0"/>
    <x v="1"/>
    <x v="0"/>
    <n v="918"/>
    <x v="0"/>
    <x v="16"/>
    <n v="3"/>
    <x v="3"/>
    <n v="1"/>
    <n v="1708"/>
    <n v="4"/>
    <x v="1"/>
    <x v="58"/>
    <n v="3"/>
    <n v="3"/>
    <x v="0"/>
    <n v="3"/>
    <x v="0"/>
    <x v="1130"/>
    <n v="15869"/>
    <n v="1"/>
    <s v="Y"/>
    <x v="1"/>
    <n v="12"/>
    <n v="3"/>
    <n v="2"/>
    <n v="80"/>
    <n v="0"/>
    <n v="10"/>
    <n v="3"/>
    <n v="3"/>
    <n v="10"/>
    <n v="8"/>
    <x v="6"/>
    <x v="1"/>
  </r>
  <r>
    <x v="11"/>
    <x v="1"/>
    <x v="0"/>
    <n v="1082"/>
    <x v="1"/>
    <x v="14"/>
    <n v="4"/>
    <x v="2"/>
    <n v="1"/>
    <n v="1709"/>
    <n v="4"/>
    <x v="0"/>
    <x v="38"/>
    <n v="3"/>
    <n v="1"/>
    <x v="2"/>
    <n v="3"/>
    <x v="1"/>
    <x v="1131"/>
    <n v="25412"/>
    <n v="9"/>
    <s v="Y"/>
    <x v="1"/>
    <n v="17"/>
    <n v="3"/>
    <n v="3"/>
    <n v="80"/>
    <n v="1"/>
    <n v="9"/>
    <n v="2"/>
    <n v="3"/>
    <n v="5"/>
    <n v="3"/>
    <x v="1"/>
    <x v="3"/>
  </r>
  <r>
    <x v="9"/>
    <x v="1"/>
    <x v="0"/>
    <n v="530"/>
    <x v="0"/>
    <x v="2"/>
    <n v="4"/>
    <x v="0"/>
    <n v="1"/>
    <n v="1710"/>
    <n v="3"/>
    <x v="0"/>
    <x v="14"/>
    <n v="3"/>
    <n v="2"/>
    <x v="6"/>
    <n v="4"/>
    <x v="0"/>
    <x v="1132"/>
    <n v="7439"/>
    <n v="3"/>
    <s v="Y"/>
    <x v="1"/>
    <n v="15"/>
    <n v="3"/>
    <n v="3"/>
    <n v="80"/>
    <n v="0"/>
    <n v="17"/>
    <n v="2"/>
    <n v="2"/>
    <n v="13"/>
    <n v="7"/>
    <x v="7"/>
    <x v="1"/>
  </r>
  <r>
    <x v="28"/>
    <x v="1"/>
    <x v="2"/>
    <n v="1238"/>
    <x v="1"/>
    <x v="0"/>
    <n v="1"/>
    <x v="0"/>
    <n v="1"/>
    <n v="1712"/>
    <n v="3"/>
    <x v="1"/>
    <x v="69"/>
    <n v="2"/>
    <n v="3"/>
    <x v="4"/>
    <n v="3"/>
    <x v="1"/>
    <x v="1133"/>
    <n v="3395"/>
    <n v="3"/>
    <s v="Y"/>
    <x v="1"/>
    <n v="23"/>
    <n v="4"/>
    <n v="4"/>
    <n v="80"/>
    <n v="1"/>
    <n v="25"/>
    <n v="3"/>
    <n v="2"/>
    <n v="23"/>
    <n v="15"/>
    <x v="15"/>
    <x v="10"/>
  </r>
  <r>
    <x v="17"/>
    <x v="0"/>
    <x v="0"/>
    <n v="240"/>
    <x v="2"/>
    <x v="23"/>
    <n v="1"/>
    <x v="5"/>
    <n v="1"/>
    <n v="1714"/>
    <n v="4"/>
    <x v="1"/>
    <x v="22"/>
    <n v="1"/>
    <n v="1"/>
    <x v="8"/>
    <n v="3"/>
    <x v="1"/>
    <x v="1134"/>
    <n v="11585"/>
    <n v="1"/>
    <s v="Y"/>
    <x v="1"/>
    <n v="11"/>
    <n v="3"/>
    <n v="3"/>
    <n v="80"/>
    <n v="1"/>
    <n v="1"/>
    <n v="2"/>
    <n v="3"/>
    <n v="1"/>
    <n v="0"/>
    <x v="0"/>
    <x v="2"/>
  </r>
  <r>
    <x v="40"/>
    <x v="0"/>
    <x v="1"/>
    <n v="1093"/>
    <x v="0"/>
    <x v="14"/>
    <n v="3"/>
    <x v="0"/>
    <n v="1"/>
    <n v="1716"/>
    <n v="3"/>
    <x v="1"/>
    <x v="19"/>
    <n v="1"/>
    <n v="4"/>
    <x v="0"/>
    <n v="3"/>
    <x v="1"/>
    <x v="1135"/>
    <n v="24164"/>
    <n v="7"/>
    <s v="Y"/>
    <x v="1"/>
    <n v="11"/>
    <n v="3"/>
    <n v="3"/>
    <n v="80"/>
    <n v="0"/>
    <n v="25"/>
    <n v="3"/>
    <n v="1"/>
    <n v="23"/>
    <n v="5"/>
    <x v="15"/>
    <x v="13"/>
  </r>
  <r>
    <x v="25"/>
    <x v="1"/>
    <x v="0"/>
    <n v="390"/>
    <x v="1"/>
    <x v="27"/>
    <n v="4"/>
    <x v="2"/>
    <n v="1"/>
    <n v="1718"/>
    <n v="4"/>
    <x v="1"/>
    <x v="50"/>
    <n v="1"/>
    <n v="1"/>
    <x v="2"/>
    <n v="3"/>
    <x v="1"/>
    <x v="1136"/>
    <n v="6217"/>
    <n v="1"/>
    <s v="Y"/>
    <x v="1"/>
    <n v="15"/>
    <n v="3"/>
    <n v="3"/>
    <n v="80"/>
    <n v="3"/>
    <n v="3"/>
    <n v="3"/>
    <n v="4"/>
    <n v="3"/>
    <n v="2"/>
    <x v="0"/>
    <x v="3"/>
  </r>
  <r>
    <x v="28"/>
    <x v="1"/>
    <x v="0"/>
    <n v="1005"/>
    <x v="1"/>
    <x v="26"/>
    <n v="2"/>
    <x v="4"/>
    <n v="1"/>
    <n v="1719"/>
    <n v="4"/>
    <x v="0"/>
    <x v="24"/>
    <n v="2"/>
    <n v="4"/>
    <x v="7"/>
    <n v="2"/>
    <x v="0"/>
    <x v="1137"/>
    <n v="17119"/>
    <n v="1"/>
    <s v="Y"/>
    <x v="1"/>
    <n v="11"/>
    <n v="3"/>
    <n v="3"/>
    <n v="80"/>
    <n v="0"/>
    <n v="21"/>
    <n v="2"/>
    <n v="3"/>
    <n v="21"/>
    <n v="6"/>
    <x v="6"/>
    <x v="4"/>
  </r>
  <r>
    <x v="5"/>
    <x v="1"/>
    <x v="1"/>
    <n v="585"/>
    <x v="1"/>
    <x v="17"/>
    <n v="3"/>
    <x v="0"/>
    <n v="1"/>
    <n v="1720"/>
    <n v="1"/>
    <x v="1"/>
    <x v="3"/>
    <n v="3"/>
    <n v="1"/>
    <x v="1"/>
    <n v="3"/>
    <x v="1"/>
    <x v="1138"/>
    <n v="17360"/>
    <n v="6"/>
    <s v="Y"/>
    <x v="1"/>
    <n v="13"/>
    <n v="3"/>
    <n v="1"/>
    <n v="80"/>
    <n v="1"/>
    <n v="10"/>
    <n v="3"/>
    <n v="2"/>
    <n v="5"/>
    <n v="2"/>
    <x v="1"/>
    <x v="6"/>
  </r>
  <r>
    <x v="12"/>
    <x v="1"/>
    <x v="0"/>
    <n v="741"/>
    <x v="1"/>
    <x v="2"/>
    <n v="4"/>
    <x v="0"/>
    <n v="1"/>
    <n v="1721"/>
    <n v="2"/>
    <x v="1"/>
    <x v="68"/>
    <n v="3"/>
    <n v="1"/>
    <x v="2"/>
    <n v="3"/>
    <x v="1"/>
    <x v="1139"/>
    <n v="18103"/>
    <n v="1"/>
    <s v="Y"/>
    <x v="1"/>
    <n v="14"/>
    <n v="3"/>
    <n v="4"/>
    <n v="80"/>
    <n v="1"/>
    <n v="6"/>
    <n v="2"/>
    <n v="4"/>
    <n v="5"/>
    <n v="2"/>
    <x v="0"/>
    <x v="6"/>
  </r>
  <r>
    <x v="0"/>
    <x v="1"/>
    <x v="2"/>
    <n v="552"/>
    <x v="2"/>
    <x v="18"/>
    <n v="3"/>
    <x v="5"/>
    <n v="1"/>
    <n v="1722"/>
    <n v="3"/>
    <x v="1"/>
    <x v="53"/>
    <n v="1"/>
    <n v="2"/>
    <x v="8"/>
    <n v="2"/>
    <x v="1"/>
    <x v="1140"/>
    <n v="20794"/>
    <n v="6"/>
    <s v="Y"/>
    <x v="1"/>
    <n v="19"/>
    <n v="3"/>
    <n v="2"/>
    <n v="80"/>
    <n v="1"/>
    <n v="10"/>
    <n v="4"/>
    <n v="3"/>
    <n v="3"/>
    <n v="2"/>
    <x v="1"/>
    <x v="3"/>
  </r>
  <r>
    <x v="32"/>
    <x v="1"/>
    <x v="0"/>
    <n v="369"/>
    <x v="1"/>
    <x v="1"/>
    <n v="2"/>
    <x v="0"/>
    <n v="1"/>
    <n v="1724"/>
    <n v="2"/>
    <x v="0"/>
    <x v="2"/>
    <n v="3"/>
    <n v="2"/>
    <x v="3"/>
    <n v="1"/>
    <x v="1"/>
    <x v="1141"/>
    <n v="5041"/>
    <n v="2"/>
    <s v="Y"/>
    <x v="0"/>
    <n v="16"/>
    <n v="3"/>
    <n v="2"/>
    <n v="80"/>
    <n v="1"/>
    <n v="18"/>
    <n v="3"/>
    <n v="3"/>
    <n v="1"/>
    <n v="0"/>
    <x v="0"/>
    <x v="2"/>
  </r>
  <r>
    <x v="17"/>
    <x v="1"/>
    <x v="0"/>
    <n v="506"/>
    <x v="1"/>
    <x v="22"/>
    <n v="1"/>
    <x v="2"/>
    <n v="1"/>
    <n v="1725"/>
    <n v="2"/>
    <x v="1"/>
    <x v="59"/>
    <n v="3"/>
    <n v="1"/>
    <x v="2"/>
    <n v="1"/>
    <x v="2"/>
    <x v="1142"/>
    <n v="3622"/>
    <n v="1"/>
    <s v="Y"/>
    <x v="1"/>
    <n v="13"/>
    <n v="3"/>
    <n v="2"/>
    <n v="80"/>
    <n v="3"/>
    <n v="6"/>
    <n v="2"/>
    <n v="4"/>
    <n v="6"/>
    <n v="2"/>
    <x v="1"/>
    <x v="3"/>
  </r>
  <r>
    <x v="21"/>
    <x v="1"/>
    <x v="0"/>
    <n v="717"/>
    <x v="1"/>
    <x v="28"/>
    <n v="4"/>
    <x v="0"/>
    <n v="1"/>
    <n v="1727"/>
    <n v="3"/>
    <x v="1"/>
    <x v="61"/>
    <n v="3"/>
    <n v="2"/>
    <x v="4"/>
    <n v="2"/>
    <x v="0"/>
    <x v="622"/>
    <n v="9697"/>
    <n v="6"/>
    <s v="Y"/>
    <x v="1"/>
    <n v="14"/>
    <n v="3"/>
    <n v="4"/>
    <n v="80"/>
    <n v="0"/>
    <n v="19"/>
    <n v="3"/>
    <n v="3"/>
    <n v="10"/>
    <n v="7"/>
    <x v="0"/>
    <x v="12"/>
  </r>
  <r>
    <x v="10"/>
    <x v="1"/>
    <x v="0"/>
    <n v="1370"/>
    <x v="1"/>
    <x v="6"/>
    <n v="4"/>
    <x v="0"/>
    <n v="1"/>
    <n v="1728"/>
    <n v="4"/>
    <x v="1"/>
    <x v="10"/>
    <n v="3"/>
    <n v="2"/>
    <x v="3"/>
    <n v="3"/>
    <x v="1"/>
    <x v="1143"/>
    <n v="5151"/>
    <n v="2"/>
    <s v="Y"/>
    <x v="1"/>
    <n v="16"/>
    <n v="3"/>
    <n v="2"/>
    <n v="80"/>
    <n v="1"/>
    <n v="17"/>
    <n v="3"/>
    <n v="3"/>
    <n v="7"/>
    <n v="7"/>
    <x v="0"/>
    <x v="1"/>
  </r>
  <r>
    <x v="7"/>
    <x v="1"/>
    <x v="0"/>
    <n v="793"/>
    <x v="1"/>
    <x v="7"/>
    <n v="1"/>
    <x v="0"/>
    <n v="1"/>
    <n v="1729"/>
    <n v="2"/>
    <x v="1"/>
    <x v="30"/>
    <n v="3"/>
    <n v="1"/>
    <x v="1"/>
    <n v="4"/>
    <x v="1"/>
    <x v="1144"/>
    <n v="3811"/>
    <n v="1"/>
    <s v="Y"/>
    <x v="1"/>
    <n v="12"/>
    <n v="3"/>
    <n v="2"/>
    <n v="80"/>
    <n v="1"/>
    <n v="10"/>
    <n v="2"/>
    <n v="2"/>
    <n v="10"/>
    <n v="0"/>
    <x v="0"/>
    <x v="5"/>
  </r>
  <r>
    <x v="40"/>
    <x v="1"/>
    <x v="2"/>
    <n v="543"/>
    <x v="0"/>
    <x v="2"/>
    <n v="4"/>
    <x v="3"/>
    <n v="1"/>
    <n v="1731"/>
    <n v="3"/>
    <x v="1"/>
    <x v="44"/>
    <n v="3"/>
    <n v="2"/>
    <x v="0"/>
    <n v="2"/>
    <x v="1"/>
    <x v="1145"/>
    <n v="3536"/>
    <n v="7"/>
    <s v="Y"/>
    <x v="1"/>
    <n v="11"/>
    <n v="3"/>
    <n v="4"/>
    <n v="80"/>
    <n v="1"/>
    <n v="4"/>
    <n v="3"/>
    <n v="1"/>
    <n v="1"/>
    <n v="0"/>
    <x v="0"/>
    <x v="2"/>
  </r>
  <r>
    <x v="21"/>
    <x v="1"/>
    <x v="0"/>
    <n v="1277"/>
    <x v="0"/>
    <x v="2"/>
    <n v="3"/>
    <x v="0"/>
    <n v="1"/>
    <n v="1732"/>
    <n v="3"/>
    <x v="1"/>
    <x v="69"/>
    <n v="3"/>
    <n v="3"/>
    <x v="0"/>
    <n v="4"/>
    <x v="2"/>
    <x v="1146"/>
    <n v="5596"/>
    <n v="4"/>
    <s v="Y"/>
    <x v="0"/>
    <n v="12"/>
    <n v="3"/>
    <n v="2"/>
    <n v="80"/>
    <n v="1"/>
    <n v="13"/>
    <n v="5"/>
    <n v="2"/>
    <n v="10"/>
    <n v="6"/>
    <x v="0"/>
    <x v="6"/>
  </r>
  <r>
    <x v="9"/>
    <x v="0"/>
    <x v="0"/>
    <n v="1456"/>
    <x v="0"/>
    <x v="28"/>
    <n v="5"/>
    <x v="3"/>
    <n v="1"/>
    <n v="1733"/>
    <n v="2"/>
    <x v="1"/>
    <x v="16"/>
    <n v="2"/>
    <n v="2"/>
    <x v="0"/>
    <n v="1"/>
    <x v="2"/>
    <x v="1147"/>
    <n v="8658"/>
    <n v="5"/>
    <s v="Y"/>
    <x v="0"/>
    <n v="13"/>
    <n v="3"/>
    <n v="2"/>
    <n v="80"/>
    <n v="3"/>
    <n v="16"/>
    <n v="3"/>
    <n v="3"/>
    <n v="2"/>
    <n v="2"/>
    <x v="3"/>
    <x v="3"/>
  </r>
  <r>
    <x v="5"/>
    <x v="0"/>
    <x v="0"/>
    <n v="964"/>
    <x v="0"/>
    <x v="0"/>
    <n v="2"/>
    <x v="0"/>
    <n v="1"/>
    <n v="1734"/>
    <n v="1"/>
    <x v="1"/>
    <x v="61"/>
    <n v="1"/>
    <n v="2"/>
    <x v="0"/>
    <n v="2"/>
    <x v="0"/>
    <x v="1148"/>
    <n v="12147"/>
    <n v="6"/>
    <s v="Y"/>
    <x v="1"/>
    <n v="15"/>
    <n v="3"/>
    <n v="2"/>
    <n v="80"/>
    <n v="0"/>
    <n v="10"/>
    <n v="2"/>
    <n v="3"/>
    <n v="0"/>
    <n v="0"/>
    <x v="0"/>
    <x v="2"/>
  </r>
  <r>
    <x v="30"/>
    <x v="1"/>
    <x v="0"/>
    <n v="160"/>
    <x v="1"/>
    <x v="18"/>
    <n v="1"/>
    <x v="2"/>
    <n v="1"/>
    <n v="1735"/>
    <n v="3"/>
    <x v="0"/>
    <x v="14"/>
    <n v="3"/>
    <n v="1"/>
    <x v="2"/>
    <n v="2"/>
    <x v="0"/>
    <x v="1149"/>
    <n v="12862"/>
    <n v="1"/>
    <s v="Y"/>
    <x v="1"/>
    <n v="13"/>
    <n v="3"/>
    <n v="3"/>
    <n v="80"/>
    <n v="0"/>
    <n v="3"/>
    <n v="3"/>
    <n v="1"/>
    <n v="3"/>
    <n v="2"/>
    <x v="1"/>
    <x v="3"/>
  </r>
  <r>
    <x v="12"/>
    <x v="1"/>
    <x v="1"/>
    <n v="163"/>
    <x v="1"/>
    <x v="4"/>
    <n v="1"/>
    <x v="4"/>
    <n v="1"/>
    <n v="1736"/>
    <n v="4"/>
    <x v="0"/>
    <x v="37"/>
    <n v="3"/>
    <n v="2"/>
    <x v="3"/>
    <n v="4"/>
    <x v="0"/>
    <x v="319"/>
    <n v="6670"/>
    <n v="2"/>
    <s v="Y"/>
    <x v="1"/>
    <n v="20"/>
    <n v="4"/>
    <n v="4"/>
    <n v="80"/>
    <n v="0"/>
    <n v="9"/>
    <n v="3"/>
    <n v="2"/>
    <n v="5"/>
    <n v="4"/>
    <x v="1"/>
    <x v="10"/>
  </r>
  <r>
    <x v="22"/>
    <x v="1"/>
    <x v="2"/>
    <n v="792"/>
    <x v="1"/>
    <x v="0"/>
    <n v="3"/>
    <x v="0"/>
    <n v="1"/>
    <n v="1737"/>
    <n v="4"/>
    <x v="1"/>
    <x v="57"/>
    <n v="3"/>
    <n v="2"/>
    <x v="2"/>
    <n v="4"/>
    <x v="1"/>
    <x v="1150"/>
    <n v="8989"/>
    <n v="1"/>
    <s v="Y"/>
    <x v="0"/>
    <n v="15"/>
    <n v="3"/>
    <n v="4"/>
    <n v="80"/>
    <n v="1"/>
    <n v="9"/>
    <n v="2"/>
    <n v="3"/>
    <n v="9"/>
    <n v="8"/>
    <x v="8"/>
    <x v="5"/>
  </r>
  <r>
    <x v="5"/>
    <x v="1"/>
    <x v="0"/>
    <n v="371"/>
    <x v="0"/>
    <x v="10"/>
    <n v="3"/>
    <x v="0"/>
    <n v="1"/>
    <n v="1739"/>
    <n v="4"/>
    <x v="1"/>
    <x v="15"/>
    <n v="1"/>
    <n v="3"/>
    <x v="0"/>
    <n v="3"/>
    <x v="1"/>
    <x v="1151"/>
    <n v="3840"/>
    <n v="3"/>
    <s v="Y"/>
    <x v="1"/>
    <n v="13"/>
    <n v="3"/>
    <n v="3"/>
    <n v="80"/>
    <n v="1"/>
    <n v="10"/>
    <n v="2"/>
    <n v="1"/>
    <n v="4"/>
    <n v="3"/>
    <x v="0"/>
    <x v="3"/>
  </r>
  <r>
    <x v="32"/>
    <x v="1"/>
    <x v="0"/>
    <n v="611"/>
    <x v="0"/>
    <x v="15"/>
    <n v="4"/>
    <x v="2"/>
    <n v="1"/>
    <n v="1740"/>
    <n v="2"/>
    <x v="1"/>
    <x v="64"/>
    <n v="3"/>
    <n v="5"/>
    <x v="5"/>
    <n v="2"/>
    <x v="0"/>
    <x v="1152"/>
    <n v="4349"/>
    <n v="1"/>
    <s v="Y"/>
    <x v="1"/>
    <n v="14"/>
    <n v="3"/>
    <n v="2"/>
    <n v="80"/>
    <n v="0"/>
    <n v="21"/>
    <n v="3"/>
    <n v="2"/>
    <n v="21"/>
    <n v="8"/>
    <x v="12"/>
    <x v="5"/>
  </r>
  <r>
    <x v="28"/>
    <x v="1"/>
    <x v="0"/>
    <n v="176"/>
    <x v="2"/>
    <x v="18"/>
    <n v="3"/>
    <x v="0"/>
    <n v="1"/>
    <n v="1744"/>
    <n v="3"/>
    <x v="0"/>
    <x v="3"/>
    <n v="1"/>
    <n v="3"/>
    <x v="8"/>
    <n v="3"/>
    <x v="1"/>
    <x v="1153"/>
    <n v="6595"/>
    <n v="4"/>
    <s v="Y"/>
    <x v="1"/>
    <n v="21"/>
    <n v="4"/>
    <n v="3"/>
    <n v="80"/>
    <n v="2"/>
    <n v="9"/>
    <n v="2"/>
    <n v="4"/>
    <n v="5"/>
    <n v="0"/>
    <x v="0"/>
    <x v="6"/>
  </r>
  <r>
    <x v="7"/>
    <x v="1"/>
    <x v="1"/>
    <n v="1312"/>
    <x v="1"/>
    <x v="2"/>
    <n v="4"/>
    <x v="4"/>
    <n v="1"/>
    <n v="1745"/>
    <n v="4"/>
    <x v="0"/>
    <x v="17"/>
    <n v="2"/>
    <n v="1"/>
    <x v="1"/>
    <n v="1"/>
    <x v="0"/>
    <x v="775"/>
    <n v="26427"/>
    <n v="0"/>
    <s v="Y"/>
    <x v="1"/>
    <n v="16"/>
    <n v="3"/>
    <n v="4"/>
    <n v="80"/>
    <n v="0"/>
    <n v="10"/>
    <n v="2"/>
    <n v="3"/>
    <n v="9"/>
    <n v="7"/>
    <x v="0"/>
    <x v="1"/>
  </r>
  <r>
    <x v="17"/>
    <x v="1"/>
    <x v="1"/>
    <n v="897"/>
    <x v="2"/>
    <x v="17"/>
    <n v="3"/>
    <x v="2"/>
    <n v="1"/>
    <n v="1746"/>
    <n v="1"/>
    <x v="1"/>
    <x v="40"/>
    <n v="3"/>
    <n v="1"/>
    <x v="8"/>
    <n v="4"/>
    <x v="1"/>
    <x v="1154"/>
    <n v="2097"/>
    <n v="0"/>
    <s v="Y"/>
    <x v="1"/>
    <n v="14"/>
    <n v="3"/>
    <n v="4"/>
    <n v="80"/>
    <n v="1"/>
    <n v="3"/>
    <n v="2"/>
    <n v="3"/>
    <n v="2"/>
    <n v="2"/>
    <x v="3"/>
    <x v="9"/>
  </r>
  <r>
    <x v="7"/>
    <x v="0"/>
    <x v="1"/>
    <n v="600"/>
    <x v="2"/>
    <x v="1"/>
    <n v="3"/>
    <x v="5"/>
    <n v="1"/>
    <n v="1747"/>
    <n v="3"/>
    <x v="0"/>
    <x v="45"/>
    <n v="2"/>
    <n v="1"/>
    <x v="8"/>
    <n v="4"/>
    <x v="2"/>
    <x v="1155"/>
    <n v="9732"/>
    <n v="6"/>
    <s v="Y"/>
    <x v="1"/>
    <n v="11"/>
    <n v="3"/>
    <n v="3"/>
    <n v="80"/>
    <n v="1"/>
    <n v="6"/>
    <n v="0"/>
    <n v="2"/>
    <n v="4"/>
    <n v="2"/>
    <x v="1"/>
    <x v="3"/>
  </r>
  <r>
    <x v="12"/>
    <x v="1"/>
    <x v="0"/>
    <n v="1003"/>
    <x v="0"/>
    <x v="12"/>
    <n v="3"/>
    <x v="4"/>
    <n v="1"/>
    <n v="1749"/>
    <n v="1"/>
    <x v="1"/>
    <x v="14"/>
    <n v="3"/>
    <n v="2"/>
    <x v="0"/>
    <n v="3"/>
    <x v="1"/>
    <x v="1156"/>
    <n v="20943"/>
    <n v="1"/>
    <s v="Y"/>
    <x v="1"/>
    <n v="19"/>
    <n v="3"/>
    <n v="3"/>
    <n v="80"/>
    <n v="1"/>
    <n v="6"/>
    <n v="3"/>
    <n v="3"/>
    <n v="5"/>
    <n v="2"/>
    <x v="0"/>
    <x v="3"/>
  </r>
  <r>
    <x v="4"/>
    <x v="1"/>
    <x v="0"/>
    <n v="1054"/>
    <x v="1"/>
    <x v="1"/>
    <n v="3"/>
    <x v="2"/>
    <n v="1"/>
    <n v="1751"/>
    <n v="3"/>
    <x v="0"/>
    <x v="7"/>
    <n v="3"/>
    <n v="1"/>
    <x v="1"/>
    <n v="4"/>
    <x v="0"/>
    <x v="1157"/>
    <n v="6152"/>
    <n v="1"/>
    <s v="Y"/>
    <x v="1"/>
    <n v="11"/>
    <n v="3"/>
    <n v="3"/>
    <n v="80"/>
    <n v="0"/>
    <n v="6"/>
    <n v="5"/>
    <n v="2"/>
    <n v="6"/>
    <n v="2"/>
    <x v="1"/>
    <x v="10"/>
  </r>
  <r>
    <x v="11"/>
    <x v="0"/>
    <x v="0"/>
    <n v="428"/>
    <x v="0"/>
    <x v="14"/>
    <n v="3"/>
    <x v="3"/>
    <n v="1"/>
    <n v="1752"/>
    <n v="2"/>
    <x v="0"/>
    <x v="48"/>
    <n v="1"/>
    <n v="1"/>
    <x v="6"/>
    <n v="2"/>
    <x v="0"/>
    <x v="1158"/>
    <n v="14630"/>
    <n v="1"/>
    <s v="Y"/>
    <x v="1"/>
    <n v="13"/>
    <n v="3"/>
    <n v="3"/>
    <n v="80"/>
    <n v="0"/>
    <n v="2"/>
    <n v="3"/>
    <n v="3"/>
    <n v="2"/>
    <n v="2"/>
    <x v="3"/>
    <x v="3"/>
  </r>
  <r>
    <x v="11"/>
    <x v="1"/>
    <x v="1"/>
    <n v="461"/>
    <x v="1"/>
    <x v="0"/>
    <n v="3"/>
    <x v="0"/>
    <n v="1"/>
    <n v="1753"/>
    <n v="4"/>
    <x v="1"/>
    <x v="49"/>
    <n v="4"/>
    <n v="2"/>
    <x v="4"/>
    <n v="3"/>
    <x v="0"/>
    <x v="1159"/>
    <n v="23060"/>
    <n v="8"/>
    <s v="Y"/>
    <x v="0"/>
    <n v="12"/>
    <n v="3"/>
    <n v="4"/>
    <n v="80"/>
    <n v="0"/>
    <n v="10"/>
    <n v="5"/>
    <n v="4"/>
    <n v="3"/>
    <n v="2"/>
    <x v="0"/>
    <x v="3"/>
  </r>
  <r>
    <x v="7"/>
    <x v="1"/>
    <x v="0"/>
    <n v="979"/>
    <x v="0"/>
    <x v="8"/>
    <n v="2"/>
    <x v="3"/>
    <n v="1"/>
    <n v="1754"/>
    <n v="3"/>
    <x v="1"/>
    <x v="0"/>
    <n v="2"/>
    <n v="3"/>
    <x v="0"/>
    <n v="1"/>
    <x v="2"/>
    <x v="1160"/>
    <n v="3088"/>
    <n v="2"/>
    <s v="Y"/>
    <x v="1"/>
    <n v="11"/>
    <n v="3"/>
    <n v="1"/>
    <n v="80"/>
    <n v="1"/>
    <n v="12"/>
    <n v="2"/>
    <n v="3"/>
    <n v="7"/>
    <n v="7"/>
    <x v="1"/>
    <x v="1"/>
  </r>
  <r>
    <x v="13"/>
    <x v="1"/>
    <x v="0"/>
    <n v="181"/>
    <x v="1"/>
    <x v="2"/>
    <n v="4"/>
    <x v="2"/>
    <n v="1"/>
    <n v="1755"/>
    <n v="4"/>
    <x v="1"/>
    <x v="28"/>
    <n v="4"/>
    <n v="1"/>
    <x v="1"/>
    <n v="4"/>
    <x v="1"/>
    <x v="1161"/>
    <n v="5586"/>
    <n v="0"/>
    <s v="Y"/>
    <x v="0"/>
    <n v="14"/>
    <n v="3"/>
    <n v="1"/>
    <n v="80"/>
    <n v="3"/>
    <n v="6"/>
    <n v="3"/>
    <n v="3"/>
    <n v="5"/>
    <n v="0"/>
    <x v="1"/>
    <x v="3"/>
  </r>
  <r>
    <x v="3"/>
    <x v="1"/>
    <x v="2"/>
    <n v="1283"/>
    <x v="0"/>
    <x v="2"/>
    <n v="3"/>
    <x v="3"/>
    <n v="1"/>
    <n v="1756"/>
    <n v="4"/>
    <x v="0"/>
    <x v="50"/>
    <n v="3"/>
    <n v="2"/>
    <x v="0"/>
    <n v="2"/>
    <x v="0"/>
    <x v="1162"/>
    <n v="10697"/>
    <n v="8"/>
    <s v="Y"/>
    <x v="1"/>
    <n v="15"/>
    <n v="3"/>
    <n v="4"/>
    <n v="80"/>
    <n v="0"/>
    <n v="13"/>
    <n v="2"/>
    <n v="2"/>
    <n v="11"/>
    <n v="7"/>
    <x v="1"/>
    <x v="1"/>
  </r>
  <r>
    <x v="1"/>
    <x v="1"/>
    <x v="0"/>
    <n v="1313"/>
    <x v="0"/>
    <x v="13"/>
    <n v="4"/>
    <x v="3"/>
    <n v="1"/>
    <n v="1757"/>
    <n v="4"/>
    <x v="0"/>
    <x v="15"/>
    <n v="3"/>
    <n v="2"/>
    <x v="0"/>
    <n v="4"/>
    <x v="0"/>
    <x v="1163"/>
    <n v="8191"/>
    <n v="3"/>
    <s v="Y"/>
    <x v="1"/>
    <n v="12"/>
    <n v="3"/>
    <n v="3"/>
    <n v="80"/>
    <n v="0"/>
    <n v="8"/>
    <n v="1"/>
    <n v="4"/>
    <n v="5"/>
    <n v="1"/>
    <x v="0"/>
    <x v="10"/>
  </r>
  <r>
    <x v="3"/>
    <x v="0"/>
    <x v="0"/>
    <n v="211"/>
    <x v="0"/>
    <x v="7"/>
    <n v="3"/>
    <x v="0"/>
    <n v="1"/>
    <n v="1758"/>
    <n v="1"/>
    <x v="0"/>
    <x v="69"/>
    <n v="3"/>
    <n v="3"/>
    <x v="0"/>
    <n v="1"/>
    <x v="0"/>
    <x v="1164"/>
    <n v="10092"/>
    <n v="2"/>
    <s v="Y"/>
    <x v="0"/>
    <n v="20"/>
    <n v="4"/>
    <n v="3"/>
    <n v="80"/>
    <n v="0"/>
    <n v="11"/>
    <n v="2"/>
    <n v="2"/>
    <n v="0"/>
    <n v="0"/>
    <x v="0"/>
    <x v="2"/>
  </r>
  <r>
    <x v="8"/>
    <x v="1"/>
    <x v="1"/>
    <n v="594"/>
    <x v="1"/>
    <x v="2"/>
    <n v="2"/>
    <x v="2"/>
    <n v="1"/>
    <n v="1760"/>
    <n v="3"/>
    <x v="0"/>
    <x v="29"/>
    <n v="2"/>
    <n v="1"/>
    <x v="2"/>
    <n v="2"/>
    <x v="1"/>
    <x v="1165"/>
    <n v="15963"/>
    <n v="4"/>
    <s v="Y"/>
    <x v="1"/>
    <n v="14"/>
    <n v="3"/>
    <n v="2"/>
    <n v="80"/>
    <n v="1"/>
    <n v="9"/>
    <n v="4"/>
    <n v="2"/>
    <n v="6"/>
    <n v="1"/>
    <x v="0"/>
    <x v="0"/>
  </r>
  <r>
    <x v="12"/>
    <x v="0"/>
    <x v="0"/>
    <n v="1079"/>
    <x v="0"/>
    <x v="7"/>
    <n v="4"/>
    <x v="3"/>
    <n v="1"/>
    <n v="1761"/>
    <n v="1"/>
    <x v="1"/>
    <x v="49"/>
    <n v="3"/>
    <n v="3"/>
    <x v="0"/>
    <n v="3"/>
    <x v="1"/>
    <x v="1166"/>
    <n v="19002"/>
    <n v="2"/>
    <s v="Y"/>
    <x v="1"/>
    <n v="13"/>
    <n v="3"/>
    <n v="1"/>
    <n v="80"/>
    <n v="3"/>
    <n v="10"/>
    <n v="2"/>
    <n v="3"/>
    <n v="1"/>
    <n v="0"/>
    <x v="0"/>
    <x v="2"/>
  </r>
  <r>
    <x v="11"/>
    <x v="1"/>
    <x v="0"/>
    <n v="590"/>
    <x v="1"/>
    <x v="18"/>
    <n v="3"/>
    <x v="4"/>
    <n v="1"/>
    <n v="1762"/>
    <n v="4"/>
    <x v="0"/>
    <x v="59"/>
    <n v="2"/>
    <n v="1"/>
    <x v="1"/>
    <n v="1"/>
    <x v="2"/>
    <x v="971"/>
    <n v="10007"/>
    <n v="1"/>
    <s v="Y"/>
    <x v="1"/>
    <n v="13"/>
    <n v="3"/>
    <n v="3"/>
    <n v="80"/>
    <n v="1"/>
    <n v="1"/>
    <n v="2"/>
    <n v="3"/>
    <n v="1"/>
    <n v="0"/>
    <x v="0"/>
    <x v="2"/>
  </r>
  <r>
    <x v="7"/>
    <x v="1"/>
    <x v="0"/>
    <n v="305"/>
    <x v="1"/>
    <x v="7"/>
    <n v="3"/>
    <x v="0"/>
    <n v="1"/>
    <n v="1763"/>
    <n v="3"/>
    <x v="1"/>
    <x v="22"/>
    <n v="4"/>
    <n v="2"/>
    <x v="4"/>
    <n v="3"/>
    <x v="1"/>
    <x v="1167"/>
    <n v="9128"/>
    <n v="3"/>
    <s v="Y"/>
    <x v="1"/>
    <n v="16"/>
    <n v="3"/>
    <n v="3"/>
    <n v="80"/>
    <n v="1"/>
    <n v="10"/>
    <n v="3"/>
    <n v="3"/>
    <n v="7"/>
    <n v="0"/>
    <x v="1"/>
    <x v="1"/>
  </r>
  <r>
    <x v="5"/>
    <x v="1"/>
    <x v="2"/>
    <n v="953"/>
    <x v="1"/>
    <x v="12"/>
    <n v="4"/>
    <x v="4"/>
    <n v="1"/>
    <n v="1764"/>
    <n v="2"/>
    <x v="1"/>
    <x v="63"/>
    <n v="3"/>
    <n v="1"/>
    <x v="1"/>
    <n v="2"/>
    <x v="0"/>
    <x v="1168"/>
    <n v="17674"/>
    <n v="2"/>
    <s v="Y"/>
    <x v="1"/>
    <n v="14"/>
    <n v="3"/>
    <n v="2"/>
    <n v="80"/>
    <n v="0"/>
    <n v="12"/>
    <n v="3"/>
    <n v="3"/>
    <n v="7"/>
    <n v="7"/>
    <x v="0"/>
    <x v="1"/>
  </r>
  <r>
    <x v="8"/>
    <x v="1"/>
    <x v="0"/>
    <n v="833"/>
    <x v="1"/>
    <x v="21"/>
    <n v="3"/>
    <x v="2"/>
    <n v="1"/>
    <n v="1766"/>
    <n v="2"/>
    <x v="1"/>
    <x v="53"/>
    <n v="1"/>
    <n v="2"/>
    <x v="4"/>
    <n v="4"/>
    <x v="1"/>
    <x v="1169"/>
    <n v="24539"/>
    <n v="3"/>
    <s v="Y"/>
    <x v="0"/>
    <n v="16"/>
    <n v="3"/>
    <n v="3"/>
    <n v="80"/>
    <n v="1"/>
    <n v="15"/>
    <n v="2"/>
    <n v="3"/>
    <n v="1"/>
    <n v="0"/>
    <x v="1"/>
    <x v="2"/>
  </r>
  <r>
    <x v="23"/>
    <x v="0"/>
    <x v="1"/>
    <n v="807"/>
    <x v="1"/>
    <x v="27"/>
    <n v="3"/>
    <x v="4"/>
    <n v="1"/>
    <n v="1767"/>
    <n v="3"/>
    <x v="1"/>
    <x v="70"/>
    <n v="2"/>
    <n v="1"/>
    <x v="1"/>
    <n v="3"/>
    <x v="1"/>
    <x v="1170"/>
    <n v="15587"/>
    <n v="9"/>
    <s v="Y"/>
    <x v="0"/>
    <n v="16"/>
    <n v="3"/>
    <n v="4"/>
    <n v="80"/>
    <n v="1"/>
    <n v="6"/>
    <n v="4"/>
    <n v="3"/>
    <n v="1"/>
    <n v="0"/>
    <x v="0"/>
    <x v="2"/>
  </r>
  <r>
    <x v="19"/>
    <x v="1"/>
    <x v="0"/>
    <n v="855"/>
    <x v="1"/>
    <x v="20"/>
    <n v="3"/>
    <x v="2"/>
    <n v="1"/>
    <n v="1768"/>
    <n v="2"/>
    <x v="1"/>
    <x v="42"/>
    <n v="3"/>
    <n v="1"/>
    <x v="2"/>
    <n v="2"/>
    <x v="2"/>
    <x v="1171"/>
    <n v="8952"/>
    <n v="8"/>
    <s v="Y"/>
    <x v="1"/>
    <n v="22"/>
    <n v="4"/>
    <n v="2"/>
    <n v="80"/>
    <n v="3"/>
    <n v="7"/>
    <n v="6"/>
    <n v="2"/>
    <n v="5"/>
    <n v="3"/>
    <x v="0"/>
    <x v="10"/>
  </r>
  <r>
    <x v="27"/>
    <x v="1"/>
    <x v="0"/>
    <n v="478"/>
    <x v="1"/>
    <x v="2"/>
    <n v="3"/>
    <x v="2"/>
    <n v="1"/>
    <n v="1770"/>
    <n v="3"/>
    <x v="1"/>
    <x v="53"/>
    <n v="2"/>
    <n v="5"/>
    <x v="7"/>
    <n v="1"/>
    <x v="1"/>
    <x v="1172"/>
    <n v="19805"/>
    <n v="8"/>
    <s v="Y"/>
    <x v="1"/>
    <n v="12"/>
    <n v="3"/>
    <n v="2"/>
    <n v="80"/>
    <n v="3"/>
    <n v="34"/>
    <n v="2"/>
    <n v="3"/>
    <n v="1"/>
    <n v="0"/>
    <x v="0"/>
    <x v="2"/>
  </r>
  <r>
    <x v="3"/>
    <x v="1"/>
    <x v="2"/>
    <n v="775"/>
    <x v="1"/>
    <x v="18"/>
    <n v="3"/>
    <x v="4"/>
    <n v="1"/>
    <n v="1771"/>
    <n v="4"/>
    <x v="1"/>
    <x v="62"/>
    <n v="3"/>
    <n v="2"/>
    <x v="1"/>
    <n v="2"/>
    <x v="2"/>
    <x v="1173"/>
    <n v="6194"/>
    <n v="5"/>
    <s v="Y"/>
    <x v="1"/>
    <n v="15"/>
    <n v="3"/>
    <n v="4"/>
    <n v="80"/>
    <n v="2"/>
    <n v="11"/>
    <n v="2"/>
    <n v="2"/>
    <n v="9"/>
    <n v="8"/>
    <x v="1"/>
    <x v="1"/>
  </r>
  <r>
    <x v="0"/>
    <x v="1"/>
    <x v="0"/>
    <n v="548"/>
    <x v="1"/>
    <x v="14"/>
    <n v="4"/>
    <x v="0"/>
    <n v="1"/>
    <n v="1772"/>
    <n v="3"/>
    <x v="1"/>
    <x v="0"/>
    <n v="3"/>
    <n v="1"/>
    <x v="2"/>
    <n v="1"/>
    <x v="2"/>
    <x v="1174"/>
    <n v="20520"/>
    <n v="1"/>
    <s v="Y"/>
    <x v="1"/>
    <n v="20"/>
    <n v="4"/>
    <n v="2"/>
    <n v="80"/>
    <n v="2"/>
    <n v="5"/>
    <n v="2"/>
    <n v="3"/>
    <n v="5"/>
    <n v="3"/>
    <x v="0"/>
    <x v="10"/>
  </r>
  <r>
    <x v="13"/>
    <x v="1"/>
    <x v="2"/>
    <n v="1375"/>
    <x v="0"/>
    <x v="17"/>
    <n v="3"/>
    <x v="0"/>
    <n v="1"/>
    <n v="1774"/>
    <n v="4"/>
    <x v="1"/>
    <x v="44"/>
    <n v="3"/>
    <n v="2"/>
    <x v="0"/>
    <n v="3"/>
    <x v="2"/>
    <x v="1175"/>
    <n v="12313"/>
    <n v="1"/>
    <s v="Y"/>
    <x v="0"/>
    <n v="14"/>
    <n v="3"/>
    <n v="3"/>
    <n v="80"/>
    <n v="1"/>
    <n v="15"/>
    <n v="3"/>
    <n v="3"/>
    <n v="15"/>
    <n v="14"/>
    <x v="0"/>
    <x v="1"/>
  </r>
  <r>
    <x v="16"/>
    <x v="1"/>
    <x v="2"/>
    <n v="661"/>
    <x v="1"/>
    <x v="0"/>
    <n v="4"/>
    <x v="2"/>
    <n v="1"/>
    <n v="1775"/>
    <n v="1"/>
    <x v="0"/>
    <x v="53"/>
    <n v="2"/>
    <n v="4"/>
    <x v="3"/>
    <n v="3"/>
    <x v="1"/>
    <x v="1176"/>
    <n v="22308"/>
    <n v="4"/>
    <s v="Y"/>
    <x v="0"/>
    <n v="20"/>
    <n v="4"/>
    <n v="4"/>
    <n v="80"/>
    <n v="3"/>
    <n v="27"/>
    <n v="2"/>
    <n v="2"/>
    <n v="3"/>
    <n v="2"/>
    <x v="0"/>
    <x v="3"/>
  </r>
  <r>
    <x v="23"/>
    <x v="1"/>
    <x v="0"/>
    <n v="244"/>
    <x v="2"/>
    <x v="2"/>
    <n v="3"/>
    <x v="0"/>
    <n v="1"/>
    <n v="1778"/>
    <n v="2"/>
    <x v="1"/>
    <x v="28"/>
    <n v="3"/>
    <n v="1"/>
    <x v="8"/>
    <n v="4"/>
    <x v="0"/>
    <x v="1177"/>
    <n v="5033"/>
    <n v="0"/>
    <s v="Y"/>
    <x v="1"/>
    <n v="13"/>
    <n v="3"/>
    <n v="2"/>
    <n v="80"/>
    <n v="0"/>
    <n v="10"/>
    <n v="5"/>
    <n v="3"/>
    <n v="9"/>
    <n v="7"/>
    <x v="1"/>
    <x v="5"/>
  </r>
  <r>
    <x v="13"/>
    <x v="1"/>
    <x v="0"/>
    <n v="511"/>
    <x v="0"/>
    <x v="3"/>
    <n v="2"/>
    <x v="0"/>
    <n v="1"/>
    <n v="1779"/>
    <n v="4"/>
    <x v="0"/>
    <x v="47"/>
    <n v="1"/>
    <n v="2"/>
    <x v="0"/>
    <n v="4"/>
    <x v="0"/>
    <x v="1178"/>
    <n v="25353"/>
    <n v="5"/>
    <s v="Y"/>
    <x v="1"/>
    <n v="12"/>
    <n v="3"/>
    <n v="1"/>
    <n v="80"/>
    <n v="0"/>
    <n v="6"/>
    <n v="3"/>
    <n v="3"/>
    <n v="2"/>
    <n v="2"/>
    <x v="3"/>
    <x v="3"/>
  </r>
  <r>
    <x v="18"/>
    <x v="0"/>
    <x v="0"/>
    <n v="337"/>
    <x v="0"/>
    <x v="15"/>
    <n v="1"/>
    <x v="3"/>
    <n v="1"/>
    <n v="1780"/>
    <n v="2"/>
    <x v="1"/>
    <x v="11"/>
    <n v="3"/>
    <n v="1"/>
    <x v="6"/>
    <n v="2"/>
    <x v="0"/>
    <x v="1179"/>
    <n v="4567"/>
    <n v="1"/>
    <s v="Y"/>
    <x v="1"/>
    <n v="13"/>
    <n v="3"/>
    <n v="2"/>
    <n v="80"/>
    <n v="0"/>
    <n v="1"/>
    <n v="3"/>
    <n v="3"/>
    <n v="1"/>
    <n v="0"/>
    <x v="1"/>
    <x v="2"/>
  </r>
  <r>
    <x v="8"/>
    <x v="1"/>
    <x v="0"/>
    <n v="1153"/>
    <x v="1"/>
    <x v="16"/>
    <n v="2"/>
    <x v="1"/>
    <n v="1"/>
    <n v="1782"/>
    <n v="4"/>
    <x v="0"/>
    <x v="4"/>
    <n v="2"/>
    <n v="1"/>
    <x v="2"/>
    <n v="3"/>
    <x v="1"/>
    <x v="1180"/>
    <n v="16376"/>
    <n v="1"/>
    <s v="Y"/>
    <x v="1"/>
    <n v="11"/>
    <n v="3"/>
    <n v="2"/>
    <n v="80"/>
    <n v="1"/>
    <n v="5"/>
    <n v="3"/>
    <n v="3"/>
    <n v="5"/>
    <n v="4"/>
    <x v="0"/>
    <x v="10"/>
  </r>
  <r>
    <x v="15"/>
    <x v="0"/>
    <x v="0"/>
    <n v="1294"/>
    <x v="1"/>
    <x v="1"/>
    <n v="1"/>
    <x v="2"/>
    <n v="1"/>
    <n v="1783"/>
    <n v="3"/>
    <x v="0"/>
    <x v="5"/>
    <n v="3"/>
    <n v="1"/>
    <x v="2"/>
    <n v="1"/>
    <x v="1"/>
    <x v="1181"/>
    <n v="15999"/>
    <n v="1"/>
    <s v="Y"/>
    <x v="0"/>
    <n v="17"/>
    <n v="3"/>
    <n v="3"/>
    <n v="80"/>
    <n v="0"/>
    <n v="1"/>
    <n v="6"/>
    <n v="3"/>
    <n v="1"/>
    <n v="0"/>
    <x v="0"/>
    <x v="2"/>
  </r>
  <r>
    <x v="12"/>
    <x v="1"/>
    <x v="0"/>
    <n v="196"/>
    <x v="0"/>
    <x v="22"/>
    <n v="4"/>
    <x v="3"/>
    <n v="1"/>
    <n v="1784"/>
    <n v="1"/>
    <x v="0"/>
    <x v="59"/>
    <n v="2"/>
    <n v="2"/>
    <x v="0"/>
    <n v="4"/>
    <x v="1"/>
    <x v="1182"/>
    <n v="13402"/>
    <n v="1"/>
    <s v="Y"/>
    <x v="1"/>
    <n v="14"/>
    <n v="3"/>
    <n v="1"/>
    <n v="80"/>
    <n v="2"/>
    <n v="13"/>
    <n v="3"/>
    <n v="3"/>
    <n v="12"/>
    <n v="7"/>
    <x v="8"/>
    <x v="1"/>
  </r>
  <r>
    <x v="31"/>
    <x v="1"/>
    <x v="0"/>
    <n v="942"/>
    <x v="1"/>
    <x v="3"/>
    <n v="3"/>
    <x v="4"/>
    <n v="1"/>
    <n v="1786"/>
    <n v="1"/>
    <x v="0"/>
    <x v="20"/>
    <n v="3"/>
    <n v="3"/>
    <x v="5"/>
    <n v="3"/>
    <x v="1"/>
    <x v="1183"/>
    <n v="22984"/>
    <n v="2"/>
    <s v="Y"/>
    <x v="1"/>
    <n v="11"/>
    <n v="3"/>
    <n v="4"/>
    <n v="80"/>
    <n v="0"/>
    <n v="15"/>
    <n v="2"/>
    <n v="3"/>
    <n v="2"/>
    <n v="2"/>
    <x v="3"/>
    <x v="3"/>
  </r>
  <r>
    <x v="2"/>
    <x v="1"/>
    <x v="0"/>
    <n v="589"/>
    <x v="0"/>
    <x v="14"/>
    <n v="2"/>
    <x v="3"/>
    <n v="1"/>
    <n v="1787"/>
    <n v="2"/>
    <x v="1"/>
    <x v="55"/>
    <n v="2"/>
    <n v="2"/>
    <x v="0"/>
    <n v="2"/>
    <x v="1"/>
    <x v="1184"/>
    <n v="8800"/>
    <n v="1"/>
    <s v="Y"/>
    <x v="1"/>
    <n v="14"/>
    <n v="3"/>
    <n v="1"/>
    <n v="80"/>
    <n v="2"/>
    <n v="5"/>
    <n v="2"/>
    <n v="3"/>
    <n v="5"/>
    <n v="2"/>
    <x v="0"/>
    <x v="6"/>
  </r>
  <r>
    <x v="21"/>
    <x v="1"/>
    <x v="0"/>
    <n v="734"/>
    <x v="1"/>
    <x v="2"/>
    <n v="4"/>
    <x v="2"/>
    <n v="1"/>
    <n v="1789"/>
    <n v="3"/>
    <x v="1"/>
    <x v="55"/>
    <n v="3"/>
    <n v="5"/>
    <x v="7"/>
    <n v="4"/>
    <x v="2"/>
    <x v="1185"/>
    <n v="14218"/>
    <n v="7"/>
    <s v="Y"/>
    <x v="0"/>
    <n v="17"/>
    <n v="3"/>
    <n v="3"/>
    <n v="80"/>
    <n v="1"/>
    <n v="24"/>
    <n v="3"/>
    <n v="3"/>
    <n v="2"/>
    <n v="1"/>
    <x v="3"/>
    <x v="3"/>
  </r>
  <r>
    <x v="9"/>
    <x v="1"/>
    <x v="0"/>
    <n v="1383"/>
    <x v="1"/>
    <x v="17"/>
    <n v="3"/>
    <x v="0"/>
    <n v="1"/>
    <n v="1790"/>
    <n v="4"/>
    <x v="1"/>
    <x v="62"/>
    <n v="3"/>
    <n v="3"/>
    <x v="4"/>
    <n v="1"/>
    <x v="1"/>
    <x v="1186"/>
    <n v="25949"/>
    <n v="7"/>
    <s v="Y"/>
    <x v="0"/>
    <n v="13"/>
    <n v="3"/>
    <n v="4"/>
    <n v="80"/>
    <n v="1"/>
    <n v="15"/>
    <n v="1"/>
    <n v="3"/>
    <n v="12"/>
    <n v="8"/>
    <x v="8"/>
    <x v="1"/>
  </r>
  <r>
    <x v="20"/>
    <x v="0"/>
    <x v="1"/>
    <n v="429"/>
    <x v="1"/>
    <x v="0"/>
    <n v="2"/>
    <x v="2"/>
    <n v="1"/>
    <n v="1792"/>
    <n v="3"/>
    <x v="1"/>
    <x v="39"/>
    <n v="3"/>
    <n v="1"/>
    <x v="1"/>
    <n v="2"/>
    <x v="2"/>
    <x v="531"/>
    <n v="11092"/>
    <n v="1"/>
    <s v="Y"/>
    <x v="0"/>
    <n v="12"/>
    <n v="3"/>
    <n v="3"/>
    <n v="80"/>
    <n v="3"/>
    <n v="6"/>
    <n v="2"/>
    <n v="2"/>
    <n v="5"/>
    <n v="3"/>
    <x v="3"/>
    <x v="6"/>
  </r>
  <r>
    <x v="2"/>
    <x v="1"/>
    <x v="0"/>
    <n v="1239"/>
    <x v="2"/>
    <x v="1"/>
    <n v="2"/>
    <x v="1"/>
    <n v="1"/>
    <n v="1794"/>
    <n v="3"/>
    <x v="1"/>
    <x v="66"/>
    <n v="3"/>
    <n v="2"/>
    <x v="8"/>
    <n v="2"/>
    <x v="2"/>
    <x v="1187"/>
    <n v="12832"/>
    <n v="2"/>
    <s v="Y"/>
    <x v="1"/>
    <n v="13"/>
    <n v="3"/>
    <n v="3"/>
    <n v="80"/>
    <n v="0"/>
    <n v="19"/>
    <n v="4"/>
    <n v="2"/>
    <n v="10"/>
    <n v="0"/>
    <x v="5"/>
    <x v="1"/>
  </r>
  <r>
    <x v="10"/>
    <x v="0"/>
    <x v="0"/>
    <n v="303"/>
    <x v="0"/>
    <x v="6"/>
    <n v="3"/>
    <x v="0"/>
    <n v="1"/>
    <n v="1797"/>
    <n v="3"/>
    <x v="1"/>
    <x v="9"/>
    <n v="3"/>
    <n v="2"/>
    <x v="0"/>
    <n v="4"/>
    <x v="0"/>
    <x v="1188"/>
    <n v="13492"/>
    <n v="1"/>
    <s v="Y"/>
    <x v="0"/>
    <n v="18"/>
    <n v="3"/>
    <n v="4"/>
    <n v="80"/>
    <n v="0"/>
    <n v="10"/>
    <n v="2"/>
    <n v="3"/>
    <n v="10"/>
    <n v="7"/>
    <x v="4"/>
    <x v="1"/>
  </r>
  <r>
    <x v="3"/>
    <x v="1"/>
    <x v="0"/>
    <n v="867"/>
    <x v="1"/>
    <x v="1"/>
    <n v="4"/>
    <x v="0"/>
    <n v="1"/>
    <n v="1798"/>
    <n v="4"/>
    <x v="1"/>
    <x v="62"/>
    <n v="4"/>
    <n v="1"/>
    <x v="1"/>
    <n v="1"/>
    <x v="1"/>
    <x v="1189"/>
    <n v="6076"/>
    <n v="6"/>
    <s v="Y"/>
    <x v="1"/>
    <n v="19"/>
    <n v="3"/>
    <n v="2"/>
    <n v="80"/>
    <n v="1"/>
    <n v="14"/>
    <n v="1"/>
    <n v="3"/>
    <n v="10"/>
    <n v="8"/>
    <x v="4"/>
    <x v="4"/>
  </r>
  <r>
    <x v="14"/>
    <x v="1"/>
    <x v="0"/>
    <n v="1181"/>
    <x v="1"/>
    <x v="0"/>
    <n v="3"/>
    <x v="0"/>
    <n v="1"/>
    <n v="1799"/>
    <n v="3"/>
    <x v="1"/>
    <x v="19"/>
    <n v="3"/>
    <n v="1"/>
    <x v="1"/>
    <n v="4"/>
    <x v="1"/>
    <x v="633"/>
    <n v="5531"/>
    <n v="1"/>
    <s v="Y"/>
    <x v="1"/>
    <n v="11"/>
    <n v="3"/>
    <n v="3"/>
    <n v="80"/>
    <n v="1"/>
    <n v="5"/>
    <n v="6"/>
    <n v="4"/>
    <n v="5"/>
    <n v="3"/>
    <x v="0"/>
    <x v="6"/>
  </r>
  <r>
    <x v="22"/>
    <x v="1"/>
    <x v="0"/>
    <n v="1253"/>
    <x v="1"/>
    <x v="17"/>
    <n v="1"/>
    <x v="2"/>
    <n v="1"/>
    <n v="1800"/>
    <n v="3"/>
    <x v="1"/>
    <x v="63"/>
    <n v="3"/>
    <n v="3"/>
    <x v="7"/>
    <n v="3"/>
    <x v="0"/>
    <x v="1190"/>
    <n v="7914"/>
    <n v="7"/>
    <s v="Y"/>
    <x v="1"/>
    <n v="21"/>
    <n v="4"/>
    <n v="3"/>
    <n v="80"/>
    <n v="0"/>
    <n v="9"/>
    <n v="3"/>
    <n v="3"/>
    <n v="4"/>
    <n v="3"/>
    <x v="3"/>
    <x v="3"/>
  </r>
  <r>
    <x v="21"/>
    <x v="1"/>
    <x v="2"/>
    <n v="849"/>
    <x v="0"/>
    <x v="9"/>
    <n v="2"/>
    <x v="0"/>
    <n v="1"/>
    <n v="1801"/>
    <n v="2"/>
    <x v="1"/>
    <x v="33"/>
    <n v="2"/>
    <n v="2"/>
    <x v="0"/>
    <n v="2"/>
    <x v="0"/>
    <x v="1191"/>
    <n v="25166"/>
    <n v="8"/>
    <s v="Y"/>
    <x v="1"/>
    <n v="15"/>
    <n v="3"/>
    <n v="3"/>
    <n v="80"/>
    <n v="0"/>
    <n v="6"/>
    <n v="3"/>
    <n v="3"/>
    <n v="2"/>
    <n v="2"/>
    <x v="3"/>
    <x v="3"/>
  </r>
  <r>
    <x v="32"/>
    <x v="1"/>
    <x v="0"/>
    <n v="616"/>
    <x v="1"/>
    <x v="2"/>
    <n v="2"/>
    <x v="0"/>
    <n v="1"/>
    <n v="1802"/>
    <n v="3"/>
    <x v="0"/>
    <x v="39"/>
    <n v="3"/>
    <n v="1"/>
    <x v="2"/>
    <n v="1"/>
    <x v="1"/>
    <x v="1192"/>
    <n v="25605"/>
    <n v="4"/>
    <s v="Y"/>
    <x v="1"/>
    <n v="17"/>
    <n v="3"/>
    <n v="4"/>
    <n v="80"/>
    <n v="1"/>
    <n v="7"/>
    <n v="5"/>
    <n v="2"/>
    <n v="4"/>
    <n v="3"/>
    <x v="0"/>
    <x v="3"/>
  </r>
  <r>
    <x v="19"/>
    <x v="1"/>
    <x v="0"/>
    <n v="1128"/>
    <x v="1"/>
    <x v="28"/>
    <n v="3"/>
    <x v="2"/>
    <n v="1"/>
    <n v="1803"/>
    <n v="2"/>
    <x v="1"/>
    <x v="41"/>
    <n v="4"/>
    <n v="2"/>
    <x v="4"/>
    <n v="1"/>
    <x v="1"/>
    <x v="1193"/>
    <n v="5696"/>
    <n v="5"/>
    <s v="Y"/>
    <x v="1"/>
    <n v="18"/>
    <n v="3"/>
    <n v="3"/>
    <n v="80"/>
    <n v="2"/>
    <n v="10"/>
    <n v="2"/>
    <n v="2"/>
    <n v="0"/>
    <n v="0"/>
    <x v="0"/>
    <x v="2"/>
  </r>
  <r>
    <x v="10"/>
    <x v="1"/>
    <x v="2"/>
    <n v="1180"/>
    <x v="1"/>
    <x v="2"/>
    <n v="2"/>
    <x v="2"/>
    <n v="1"/>
    <n v="1804"/>
    <n v="2"/>
    <x v="1"/>
    <x v="62"/>
    <n v="3"/>
    <n v="2"/>
    <x v="3"/>
    <n v="4"/>
    <x v="2"/>
    <x v="1194"/>
    <n v="24442"/>
    <n v="2"/>
    <s v="Y"/>
    <x v="1"/>
    <n v="14"/>
    <n v="3"/>
    <n v="3"/>
    <n v="80"/>
    <n v="1"/>
    <n v="15"/>
    <n v="6"/>
    <n v="3"/>
    <n v="7"/>
    <n v="7"/>
    <x v="1"/>
    <x v="1"/>
  </r>
  <r>
    <x v="8"/>
    <x v="1"/>
    <x v="2"/>
    <n v="1336"/>
    <x v="2"/>
    <x v="2"/>
    <n v="3"/>
    <x v="5"/>
    <n v="1"/>
    <n v="1805"/>
    <n v="1"/>
    <x v="1"/>
    <x v="54"/>
    <n v="3"/>
    <n v="1"/>
    <x v="8"/>
    <n v="2"/>
    <x v="2"/>
    <x v="1195"/>
    <n v="7129"/>
    <n v="5"/>
    <s v="Y"/>
    <x v="1"/>
    <n v="13"/>
    <n v="3"/>
    <n v="4"/>
    <n v="80"/>
    <n v="3"/>
    <n v="13"/>
    <n v="3"/>
    <n v="3"/>
    <n v="11"/>
    <n v="10"/>
    <x v="2"/>
    <x v="5"/>
  </r>
  <r>
    <x v="13"/>
    <x v="0"/>
    <x v="1"/>
    <n v="234"/>
    <x v="1"/>
    <x v="14"/>
    <n v="4"/>
    <x v="0"/>
    <n v="1"/>
    <n v="1807"/>
    <n v="4"/>
    <x v="1"/>
    <x v="12"/>
    <n v="3"/>
    <n v="2"/>
    <x v="2"/>
    <n v="1"/>
    <x v="1"/>
    <x v="800"/>
    <n v="6208"/>
    <n v="4"/>
    <s v="Y"/>
    <x v="1"/>
    <n v="17"/>
    <n v="3"/>
    <n v="3"/>
    <n v="80"/>
    <n v="1"/>
    <n v="11"/>
    <n v="3"/>
    <n v="2"/>
    <n v="7"/>
    <n v="1"/>
    <x v="0"/>
    <x v="1"/>
  </r>
  <r>
    <x v="2"/>
    <x v="0"/>
    <x v="0"/>
    <n v="370"/>
    <x v="1"/>
    <x v="17"/>
    <n v="4"/>
    <x v="2"/>
    <n v="1"/>
    <n v="1809"/>
    <n v="4"/>
    <x v="1"/>
    <x v="22"/>
    <n v="3"/>
    <n v="2"/>
    <x v="3"/>
    <n v="1"/>
    <x v="0"/>
    <x v="1196"/>
    <n v="4992"/>
    <n v="1"/>
    <s v="Y"/>
    <x v="1"/>
    <n v="15"/>
    <n v="3"/>
    <n v="2"/>
    <n v="80"/>
    <n v="0"/>
    <n v="10"/>
    <n v="4"/>
    <n v="1"/>
    <n v="10"/>
    <n v="3"/>
    <x v="0"/>
    <x v="5"/>
  </r>
  <r>
    <x v="22"/>
    <x v="1"/>
    <x v="1"/>
    <n v="766"/>
    <x v="0"/>
    <x v="25"/>
    <n v="3"/>
    <x v="0"/>
    <n v="1"/>
    <n v="1812"/>
    <n v="3"/>
    <x v="1"/>
    <x v="21"/>
    <n v="3"/>
    <n v="2"/>
    <x v="0"/>
    <n v="4"/>
    <x v="2"/>
    <x v="1197"/>
    <n v="19188"/>
    <n v="2"/>
    <s v="Y"/>
    <x v="1"/>
    <n v="18"/>
    <n v="3"/>
    <n v="4"/>
    <n v="80"/>
    <n v="1"/>
    <n v="7"/>
    <n v="6"/>
    <n v="3"/>
    <n v="2"/>
    <n v="1"/>
    <x v="3"/>
    <x v="3"/>
  </r>
  <r>
    <x v="23"/>
    <x v="1"/>
    <x v="2"/>
    <n v="343"/>
    <x v="1"/>
    <x v="14"/>
    <n v="3"/>
    <x v="0"/>
    <n v="1"/>
    <n v="1813"/>
    <n v="1"/>
    <x v="1"/>
    <x v="48"/>
    <n v="3"/>
    <n v="1"/>
    <x v="1"/>
    <n v="3"/>
    <x v="0"/>
    <x v="1198"/>
    <n v="24978"/>
    <n v="4"/>
    <s v="Y"/>
    <x v="1"/>
    <n v="13"/>
    <n v="3"/>
    <n v="3"/>
    <n v="80"/>
    <n v="0"/>
    <n v="7"/>
    <n v="2"/>
    <n v="2"/>
    <n v="3"/>
    <n v="2"/>
    <x v="1"/>
    <x v="3"/>
  </r>
  <r>
    <x v="0"/>
    <x v="1"/>
    <x v="0"/>
    <n v="447"/>
    <x v="1"/>
    <x v="12"/>
    <n v="3"/>
    <x v="0"/>
    <n v="1"/>
    <n v="1814"/>
    <n v="2"/>
    <x v="1"/>
    <x v="65"/>
    <n v="4"/>
    <n v="2"/>
    <x v="4"/>
    <n v="2"/>
    <x v="0"/>
    <x v="1199"/>
    <n v="15530"/>
    <n v="3"/>
    <s v="Y"/>
    <x v="1"/>
    <n v="12"/>
    <n v="3"/>
    <n v="1"/>
    <n v="80"/>
    <n v="0"/>
    <n v="11"/>
    <n v="3"/>
    <n v="1"/>
    <n v="3"/>
    <n v="2"/>
    <x v="1"/>
    <x v="3"/>
  </r>
  <r>
    <x v="0"/>
    <x v="1"/>
    <x v="0"/>
    <n v="796"/>
    <x v="0"/>
    <x v="18"/>
    <n v="1"/>
    <x v="3"/>
    <n v="1"/>
    <n v="1815"/>
    <n v="3"/>
    <x v="0"/>
    <x v="6"/>
    <n v="3"/>
    <n v="3"/>
    <x v="0"/>
    <n v="3"/>
    <x v="2"/>
    <x v="1200"/>
    <n v="26458"/>
    <n v="0"/>
    <s v="Y"/>
    <x v="0"/>
    <n v="13"/>
    <n v="3"/>
    <n v="4"/>
    <n v="80"/>
    <n v="1"/>
    <n v="23"/>
    <n v="3"/>
    <n v="4"/>
    <n v="22"/>
    <n v="14"/>
    <x v="11"/>
    <x v="0"/>
  </r>
  <r>
    <x v="7"/>
    <x v="1"/>
    <x v="0"/>
    <n v="1092"/>
    <x v="1"/>
    <x v="17"/>
    <n v="3"/>
    <x v="2"/>
    <n v="1"/>
    <n v="1816"/>
    <n v="1"/>
    <x v="0"/>
    <x v="51"/>
    <n v="3"/>
    <n v="3"/>
    <x v="3"/>
    <n v="3"/>
    <x v="0"/>
    <x v="1201"/>
    <n v="2739"/>
    <n v="9"/>
    <s v="Y"/>
    <x v="1"/>
    <n v="14"/>
    <n v="3"/>
    <n v="2"/>
    <n v="80"/>
    <n v="0"/>
    <n v="9"/>
    <n v="3"/>
    <n v="3"/>
    <n v="7"/>
    <n v="7"/>
    <x v="0"/>
    <x v="3"/>
  </r>
  <r>
    <x v="25"/>
    <x v="0"/>
    <x v="0"/>
    <n v="920"/>
    <x v="2"/>
    <x v="25"/>
    <n v="2"/>
    <x v="2"/>
    <n v="1"/>
    <n v="1818"/>
    <n v="4"/>
    <x v="0"/>
    <x v="68"/>
    <n v="3"/>
    <n v="1"/>
    <x v="8"/>
    <n v="2"/>
    <x v="1"/>
    <x v="1202"/>
    <n v="6889"/>
    <n v="0"/>
    <s v="Y"/>
    <x v="0"/>
    <n v="11"/>
    <n v="3"/>
    <n v="3"/>
    <n v="80"/>
    <n v="0"/>
    <n v="6"/>
    <n v="3"/>
    <n v="3"/>
    <n v="5"/>
    <n v="1"/>
    <x v="1"/>
    <x v="10"/>
  </r>
  <r>
    <x v="21"/>
    <x v="0"/>
    <x v="0"/>
    <n v="261"/>
    <x v="1"/>
    <x v="11"/>
    <n v="2"/>
    <x v="2"/>
    <n v="1"/>
    <n v="1821"/>
    <n v="4"/>
    <x v="0"/>
    <x v="45"/>
    <n v="3"/>
    <n v="2"/>
    <x v="4"/>
    <n v="2"/>
    <x v="1"/>
    <x v="1203"/>
    <n v="10842"/>
    <n v="4"/>
    <s v="Y"/>
    <x v="1"/>
    <n v="22"/>
    <n v="4"/>
    <n v="4"/>
    <n v="80"/>
    <n v="1"/>
    <n v="13"/>
    <n v="2"/>
    <n v="4"/>
    <n v="9"/>
    <n v="7"/>
    <x v="2"/>
    <x v="1"/>
  </r>
  <r>
    <x v="32"/>
    <x v="1"/>
    <x v="0"/>
    <n v="1194"/>
    <x v="1"/>
    <x v="0"/>
    <n v="3"/>
    <x v="0"/>
    <n v="1"/>
    <n v="1822"/>
    <n v="3"/>
    <x v="0"/>
    <x v="48"/>
    <n v="3"/>
    <n v="2"/>
    <x v="4"/>
    <n v="4"/>
    <x v="2"/>
    <x v="1204"/>
    <n v="9060"/>
    <n v="4"/>
    <s v="Y"/>
    <x v="1"/>
    <n v="17"/>
    <n v="3"/>
    <n v="4"/>
    <n v="80"/>
    <n v="1"/>
    <n v="12"/>
    <n v="3"/>
    <n v="3"/>
    <n v="5"/>
    <n v="3"/>
    <x v="0"/>
    <x v="6"/>
  </r>
  <r>
    <x v="13"/>
    <x v="1"/>
    <x v="0"/>
    <n v="810"/>
    <x v="0"/>
    <x v="1"/>
    <n v="2"/>
    <x v="4"/>
    <n v="1"/>
    <n v="1823"/>
    <n v="2"/>
    <x v="1"/>
    <x v="2"/>
    <n v="4"/>
    <n v="2"/>
    <x v="0"/>
    <n v="3"/>
    <x v="1"/>
    <x v="1205"/>
    <n v="22128"/>
    <n v="1"/>
    <s v="Y"/>
    <x v="1"/>
    <n v="21"/>
    <n v="4"/>
    <n v="3"/>
    <n v="80"/>
    <n v="2"/>
    <n v="10"/>
    <n v="5"/>
    <n v="3"/>
    <n v="10"/>
    <n v="8"/>
    <x v="5"/>
    <x v="5"/>
  </r>
  <r>
    <x v="34"/>
    <x v="1"/>
    <x v="2"/>
    <n v="350"/>
    <x v="0"/>
    <x v="2"/>
    <n v="3"/>
    <x v="2"/>
    <n v="1"/>
    <n v="1824"/>
    <n v="2"/>
    <x v="1"/>
    <x v="48"/>
    <n v="3"/>
    <n v="4"/>
    <x v="5"/>
    <n v="2"/>
    <x v="2"/>
    <x v="1206"/>
    <n v="22577"/>
    <n v="4"/>
    <s v="Y"/>
    <x v="1"/>
    <n v="22"/>
    <n v="4"/>
    <n v="4"/>
    <n v="80"/>
    <n v="1"/>
    <n v="37"/>
    <n v="0"/>
    <n v="2"/>
    <n v="16"/>
    <n v="9"/>
    <x v="15"/>
    <x v="17"/>
  </r>
  <r>
    <x v="10"/>
    <x v="1"/>
    <x v="0"/>
    <n v="185"/>
    <x v="1"/>
    <x v="5"/>
    <n v="4"/>
    <x v="2"/>
    <n v="1"/>
    <n v="1826"/>
    <n v="2"/>
    <x v="1"/>
    <x v="59"/>
    <n v="1"/>
    <n v="1"/>
    <x v="2"/>
    <n v="3"/>
    <x v="1"/>
    <x v="1207"/>
    <n v="9696"/>
    <n v="0"/>
    <s v="Y"/>
    <x v="1"/>
    <n v="16"/>
    <n v="3"/>
    <n v="2"/>
    <n v="80"/>
    <n v="1"/>
    <n v="6"/>
    <n v="2"/>
    <n v="4"/>
    <n v="5"/>
    <n v="4"/>
    <x v="0"/>
    <x v="6"/>
  </r>
  <r>
    <x v="40"/>
    <x v="1"/>
    <x v="0"/>
    <n v="1001"/>
    <x v="1"/>
    <x v="18"/>
    <n v="3"/>
    <x v="0"/>
    <n v="1"/>
    <n v="1827"/>
    <n v="3"/>
    <x v="0"/>
    <x v="2"/>
    <n v="2"/>
    <n v="3"/>
    <x v="3"/>
    <n v="2"/>
    <x v="2"/>
    <x v="1208"/>
    <n v="19271"/>
    <n v="8"/>
    <s v="Y"/>
    <x v="0"/>
    <n v="12"/>
    <n v="3"/>
    <n v="3"/>
    <n v="80"/>
    <n v="1"/>
    <n v="28"/>
    <n v="4"/>
    <n v="3"/>
    <n v="22"/>
    <n v="11"/>
    <x v="15"/>
    <x v="13"/>
  </r>
  <r>
    <x v="32"/>
    <x v="1"/>
    <x v="0"/>
    <n v="750"/>
    <x v="1"/>
    <x v="20"/>
    <n v="3"/>
    <x v="0"/>
    <n v="1"/>
    <n v="1829"/>
    <n v="2"/>
    <x v="0"/>
    <x v="35"/>
    <n v="3"/>
    <n v="2"/>
    <x v="4"/>
    <n v="1"/>
    <x v="2"/>
    <x v="1209"/>
    <n v="10748"/>
    <n v="2"/>
    <s v="Y"/>
    <x v="1"/>
    <n v="12"/>
    <n v="3"/>
    <n v="2"/>
    <n v="80"/>
    <n v="1"/>
    <n v="15"/>
    <n v="3"/>
    <n v="3"/>
    <n v="7"/>
    <n v="4"/>
    <x v="4"/>
    <x v="1"/>
  </r>
  <r>
    <x v="33"/>
    <x v="1"/>
    <x v="0"/>
    <n v="431"/>
    <x v="1"/>
    <x v="15"/>
    <n v="4"/>
    <x v="2"/>
    <n v="1"/>
    <n v="1830"/>
    <n v="4"/>
    <x v="0"/>
    <x v="67"/>
    <n v="3"/>
    <n v="2"/>
    <x v="1"/>
    <n v="4"/>
    <x v="1"/>
    <x v="1210"/>
    <n v="15696"/>
    <n v="4"/>
    <s v="Y"/>
    <x v="1"/>
    <n v="15"/>
    <n v="3"/>
    <n v="2"/>
    <n v="80"/>
    <n v="1"/>
    <n v="14"/>
    <n v="2"/>
    <n v="2"/>
    <n v="7"/>
    <n v="1"/>
    <x v="1"/>
    <x v="1"/>
  </r>
  <r>
    <x v="12"/>
    <x v="1"/>
    <x v="1"/>
    <n v="1125"/>
    <x v="0"/>
    <x v="15"/>
    <n v="4"/>
    <x v="3"/>
    <n v="1"/>
    <n v="1833"/>
    <n v="1"/>
    <x v="0"/>
    <x v="67"/>
    <n v="3"/>
    <n v="3"/>
    <x v="0"/>
    <n v="1"/>
    <x v="1"/>
    <x v="1211"/>
    <n v="8277"/>
    <n v="2"/>
    <s v="Y"/>
    <x v="1"/>
    <n v="14"/>
    <n v="3"/>
    <n v="4"/>
    <n v="80"/>
    <n v="2"/>
    <n v="9"/>
    <n v="3"/>
    <n v="3"/>
    <n v="3"/>
    <n v="2"/>
    <x v="3"/>
    <x v="3"/>
  </r>
  <r>
    <x v="14"/>
    <x v="1"/>
    <x v="0"/>
    <n v="1217"/>
    <x v="1"/>
    <x v="0"/>
    <n v="3"/>
    <x v="2"/>
    <n v="1"/>
    <n v="1834"/>
    <n v="3"/>
    <x v="0"/>
    <x v="7"/>
    <n v="3"/>
    <n v="1"/>
    <x v="1"/>
    <n v="1"/>
    <x v="1"/>
    <x v="1212"/>
    <n v="12719"/>
    <n v="1"/>
    <s v="Y"/>
    <x v="1"/>
    <n v="25"/>
    <n v="4"/>
    <n v="3"/>
    <n v="80"/>
    <n v="1"/>
    <n v="3"/>
    <n v="3"/>
    <n v="3"/>
    <n v="3"/>
    <n v="2"/>
    <x v="1"/>
    <x v="3"/>
  </r>
  <r>
    <x v="8"/>
    <x v="1"/>
    <x v="0"/>
    <n v="723"/>
    <x v="0"/>
    <x v="2"/>
    <n v="4"/>
    <x v="3"/>
    <n v="1"/>
    <n v="1835"/>
    <n v="2"/>
    <x v="0"/>
    <x v="57"/>
    <n v="1"/>
    <n v="2"/>
    <x v="6"/>
    <n v="4"/>
    <x v="1"/>
    <x v="517"/>
    <n v="4244"/>
    <n v="2"/>
    <s v="Y"/>
    <x v="0"/>
    <n v="20"/>
    <n v="4"/>
    <n v="1"/>
    <n v="80"/>
    <n v="2"/>
    <n v="20"/>
    <n v="4"/>
    <n v="2"/>
    <n v="4"/>
    <n v="2"/>
    <x v="0"/>
    <x v="6"/>
  </r>
  <r>
    <x v="25"/>
    <x v="1"/>
    <x v="0"/>
    <n v="572"/>
    <x v="0"/>
    <x v="17"/>
    <n v="3"/>
    <x v="2"/>
    <n v="1"/>
    <n v="1836"/>
    <n v="3"/>
    <x v="1"/>
    <x v="55"/>
    <n v="3"/>
    <n v="2"/>
    <x v="0"/>
    <n v="4"/>
    <x v="0"/>
    <x v="1213"/>
    <n v="9125"/>
    <n v="1"/>
    <s v="Y"/>
    <x v="1"/>
    <n v="13"/>
    <n v="3"/>
    <n v="1"/>
    <n v="80"/>
    <n v="0"/>
    <n v="5"/>
    <n v="4"/>
    <n v="3"/>
    <n v="5"/>
    <n v="3"/>
    <x v="1"/>
    <x v="3"/>
  </r>
  <r>
    <x v="34"/>
    <x v="1"/>
    <x v="1"/>
    <n v="1216"/>
    <x v="1"/>
    <x v="8"/>
    <n v="4"/>
    <x v="0"/>
    <n v="1"/>
    <n v="1837"/>
    <n v="1"/>
    <x v="1"/>
    <x v="44"/>
    <n v="3"/>
    <n v="4"/>
    <x v="7"/>
    <n v="3"/>
    <x v="1"/>
    <x v="1214"/>
    <n v="21624"/>
    <n v="2"/>
    <s v="Y"/>
    <x v="0"/>
    <n v="14"/>
    <n v="3"/>
    <n v="2"/>
    <n v="80"/>
    <n v="0"/>
    <n v="23"/>
    <n v="3"/>
    <n v="3"/>
    <n v="2"/>
    <n v="2"/>
    <x v="3"/>
    <x v="3"/>
  </r>
  <r>
    <x v="41"/>
    <x v="1"/>
    <x v="2"/>
    <n v="1431"/>
    <x v="1"/>
    <x v="24"/>
    <n v="3"/>
    <x v="2"/>
    <n v="1"/>
    <n v="1839"/>
    <n v="2"/>
    <x v="0"/>
    <x v="30"/>
    <n v="3"/>
    <n v="1"/>
    <x v="1"/>
    <n v="3"/>
    <x v="0"/>
    <x v="1215"/>
    <n v="8018"/>
    <n v="1"/>
    <s v="Y"/>
    <x v="1"/>
    <n v="16"/>
    <n v="3"/>
    <n v="3"/>
    <n v="80"/>
    <n v="0"/>
    <n v="0"/>
    <n v="4"/>
    <n v="1"/>
    <n v="0"/>
    <n v="0"/>
    <x v="0"/>
    <x v="2"/>
  </r>
  <r>
    <x v="12"/>
    <x v="0"/>
    <x v="0"/>
    <n v="359"/>
    <x v="2"/>
    <x v="21"/>
    <n v="5"/>
    <x v="5"/>
    <n v="1"/>
    <n v="1842"/>
    <n v="4"/>
    <x v="1"/>
    <x v="66"/>
    <n v="4"/>
    <n v="1"/>
    <x v="8"/>
    <n v="1"/>
    <x v="1"/>
    <x v="98"/>
    <n v="21495"/>
    <n v="0"/>
    <s v="Y"/>
    <x v="1"/>
    <n v="17"/>
    <n v="3"/>
    <n v="3"/>
    <n v="80"/>
    <n v="0"/>
    <n v="2"/>
    <n v="4"/>
    <n v="3"/>
    <n v="1"/>
    <n v="0"/>
    <x v="0"/>
    <x v="2"/>
  </r>
  <r>
    <x v="11"/>
    <x v="0"/>
    <x v="0"/>
    <n v="350"/>
    <x v="2"/>
    <x v="28"/>
    <n v="3"/>
    <x v="5"/>
    <n v="1"/>
    <n v="1844"/>
    <n v="1"/>
    <x v="1"/>
    <x v="3"/>
    <n v="2"/>
    <n v="1"/>
    <x v="8"/>
    <n v="1"/>
    <x v="2"/>
    <x v="1216"/>
    <n v="3157"/>
    <n v="4"/>
    <s v="Y"/>
    <x v="0"/>
    <n v="15"/>
    <n v="3"/>
    <n v="4"/>
    <n v="80"/>
    <n v="3"/>
    <n v="4"/>
    <n v="3"/>
    <n v="3"/>
    <n v="2"/>
    <n v="2"/>
    <x v="3"/>
    <x v="2"/>
  </r>
  <r>
    <x v="28"/>
    <x v="1"/>
    <x v="2"/>
    <n v="589"/>
    <x v="0"/>
    <x v="2"/>
    <n v="4"/>
    <x v="0"/>
    <n v="1"/>
    <n v="1845"/>
    <n v="3"/>
    <x v="0"/>
    <x v="7"/>
    <n v="3"/>
    <n v="2"/>
    <x v="0"/>
    <n v="3"/>
    <x v="1"/>
    <x v="1217"/>
    <n v="19665"/>
    <n v="4"/>
    <s v="Y"/>
    <x v="1"/>
    <n v="22"/>
    <n v="4"/>
    <n v="2"/>
    <n v="80"/>
    <n v="2"/>
    <n v="10"/>
    <n v="3"/>
    <n v="4"/>
    <n v="8"/>
    <n v="7"/>
    <x v="8"/>
    <x v="1"/>
  </r>
  <r>
    <x v="9"/>
    <x v="1"/>
    <x v="0"/>
    <n v="430"/>
    <x v="1"/>
    <x v="2"/>
    <n v="4"/>
    <x v="1"/>
    <n v="1"/>
    <n v="1847"/>
    <n v="4"/>
    <x v="0"/>
    <x v="32"/>
    <n v="3"/>
    <n v="2"/>
    <x v="1"/>
    <n v="2"/>
    <x v="1"/>
    <x v="1218"/>
    <n v="19573"/>
    <n v="4"/>
    <s v="Y"/>
    <x v="0"/>
    <n v="22"/>
    <n v="4"/>
    <n v="4"/>
    <n v="80"/>
    <n v="1"/>
    <n v="15"/>
    <n v="2"/>
    <n v="3"/>
    <n v="1"/>
    <n v="0"/>
    <x v="0"/>
    <x v="2"/>
  </r>
  <r>
    <x v="23"/>
    <x v="1"/>
    <x v="1"/>
    <n v="1422"/>
    <x v="0"/>
    <x v="2"/>
    <n v="4"/>
    <x v="0"/>
    <n v="1"/>
    <n v="1849"/>
    <n v="1"/>
    <x v="1"/>
    <x v="2"/>
    <n v="3"/>
    <n v="2"/>
    <x v="0"/>
    <n v="4"/>
    <x v="1"/>
    <x v="1219"/>
    <n v="19246"/>
    <n v="1"/>
    <s v="Y"/>
    <x v="1"/>
    <n v="20"/>
    <n v="4"/>
    <n v="3"/>
    <n v="80"/>
    <n v="1"/>
    <n v="7"/>
    <n v="5"/>
    <n v="3"/>
    <n v="7"/>
    <n v="7"/>
    <x v="4"/>
    <x v="1"/>
  </r>
  <r>
    <x v="4"/>
    <x v="1"/>
    <x v="1"/>
    <n v="1297"/>
    <x v="1"/>
    <x v="12"/>
    <n v="2"/>
    <x v="0"/>
    <n v="1"/>
    <n v="1850"/>
    <n v="4"/>
    <x v="0"/>
    <x v="20"/>
    <n v="3"/>
    <n v="1"/>
    <x v="2"/>
    <n v="4"/>
    <x v="0"/>
    <x v="1220"/>
    <n v="19826"/>
    <n v="0"/>
    <s v="Y"/>
    <x v="0"/>
    <n v="14"/>
    <n v="3"/>
    <n v="3"/>
    <n v="80"/>
    <n v="0"/>
    <n v="6"/>
    <n v="3"/>
    <n v="2"/>
    <n v="5"/>
    <n v="4"/>
    <x v="0"/>
    <x v="3"/>
  </r>
  <r>
    <x v="11"/>
    <x v="1"/>
    <x v="1"/>
    <n v="574"/>
    <x v="1"/>
    <x v="25"/>
    <n v="1"/>
    <x v="2"/>
    <n v="1"/>
    <n v="1852"/>
    <n v="4"/>
    <x v="1"/>
    <x v="4"/>
    <n v="3"/>
    <n v="1"/>
    <x v="2"/>
    <n v="4"/>
    <x v="1"/>
    <x v="1221"/>
    <n v="7003"/>
    <n v="1"/>
    <s v="Y"/>
    <x v="1"/>
    <n v="13"/>
    <n v="3"/>
    <n v="2"/>
    <n v="80"/>
    <n v="0"/>
    <n v="11"/>
    <n v="3"/>
    <n v="4"/>
    <n v="11"/>
    <n v="8"/>
    <x v="2"/>
    <x v="13"/>
  </r>
  <r>
    <x v="5"/>
    <x v="1"/>
    <x v="1"/>
    <n v="1318"/>
    <x v="0"/>
    <x v="17"/>
    <n v="4"/>
    <x v="3"/>
    <n v="1"/>
    <n v="1853"/>
    <n v="4"/>
    <x v="1"/>
    <x v="5"/>
    <n v="3"/>
    <n v="2"/>
    <x v="0"/>
    <n v="4"/>
    <x v="0"/>
    <x v="1222"/>
    <n v="26075"/>
    <n v="8"/>
    <s v="Y"/>
    <x v="1"/>
    <n v="13"/>
    <n v="3"/>
    <n v="3"/>
    <n v="80"/>
    <n v="0"/>
    <n v="4"/>
    <n v="2"/>
    <n v="4"/>
    <n v="0"/>
    <n v="0"/>
    <x v="0"/>
    <x v="2"/>
  </r>
  <r>
    <x v="19"/>
    <x v="1"/>
    <x v="2"/>
    <n v="355"/>
    <x v="1"/>
    <x v="17"/>
    <n v="4"/>
    <x v="4"/>
    <n v="1"/>
    <n v="1854"/>
    <n v="3"/>
    <x v="1"/>
    <x v="70"/>
    <n v="3"/>
    <n v="1"/>
    <x v="1"/>
    <n v="3"/>
    <x v="1"/>
    <x v="808"/>
    <n v="6161"/>
    <n v="3"/>
    <s v="Y"/>
    <x v="1"/>
    <n v="22"/>
    <n v="4"/>
    <n v="2"/>
    <n v="80"/>
    <n v="2"/>
    <n v="10"/>
    <n v="1"/>
    <n v="2"/>
    <n v="6"/>
    <n v="3"/>
    <x v="2"/>
    <x v="6"/>
  </r>
  <r>
    <x v="40"/>
    <x v="1"/>
    <x v="0"/>
    <n v="207"/>
    <x v="1"/>
    <x v="14"/>
    <n v="4"/>
    <x v="0"/>
    <n v="1"/>
    <n v="1856"/>
    <n v="2"/>
    <x v="0"/>
    <x v="51"/>
    <n v="3"/>
    <n v="1"/>
    <x v="2"/>
    <n v="3"/>
    <x v="0"/>
    <x v="1223"/>
    <n v="5411"/>
    <n v="4"/>
    <s v="Y"/>
    <x v="1"/>
    <n v="12"/>
    <n v="3"/>
    <n v="3"/>
    <n v="80"/>
    <n v="0"/>
    <n v="7"/>
    <n v="2"/>
    <n v="3"/>
    <n v="2"/>
    <n v="2"/>
    <x v="3"/>
    <x v="2"/>
  </r>
  <r>
    <x v="21"/>
    <x v="1"/>
    <x v="0"/>
    <n v="706"/>
    <x v="1"/>
    <x v="2"/>
    <n v="2"/>
    <x v="0"/>
    <n v="1"/>
    <n v="1857"/>
    <n v="4"/>
    <x v="1"/>
    <x v="19"/>
    <n v="3"/>
    <n v="3"/>
    <x v="3"/>
    <n v="4"/>
    <x v="2"/>
    <x v="1224"/>
    <n v="19989"/>
    <n v="3"/>
    <s v="Y"/>
    <x v="1"/>
    <n v="14"/>
    <n v="3"/>
    <n v="3"/>
    <n v="80"/>
    <n v="1"/>
    <n v="12"/>
    <n v="4"/>
    <n v="2"/>
    <n v="9"/>
    <n v="8"/>
    <x v="5"/>
    <x v="1"/>
  </r>
  <r>
    <x v="14"/>
    <x v="1"/>
    <x v="2"/>
    <n v="280"/>
    <x v="2"/>
    <x v="0"/>
    <n v="2"/>
    <x v="0"/>
    <n v="1"/>
    <n v="1858"/>
    <n v="3"/>
    <x v="1"/>
    <x v="38"/>
    <n v="3"/>
    <n v="1"/>
    <x v="8"/>
    <n v="4"/>
    <x v="2"/>
    <x v="1225"/>
    <n v="10494"/>
    <n v="1"/>
    <s v="Y"/>
    <x v="1"/>
    <n v="15"/>
    <n v="3"/>
    <n v="2"/>
    <n v="80"/>
    <n v="1"/>
    <n v="3"/>
    <n v="2"/>
    <n v="3"/>
    <n v="3"/>
    <n v="2"/>
    <x v="3"/>
    <x v="3"/>
  </r>
  <r>
    <x v="11"/>
    <x v="1"/>
    <x v="0"/>
    <n v="726"/>
    <x v="1"/>
    <x v="22"/>
    <n v="1"/>
    <x v="0"/>
    <n v="1"/>
    <n v="1859"/>
    <n v="4"/>
    <x v="1"/>
    <x v="12"/>
    <n v="1"/>
    <n v="2"/>
    <x v="4"/>
    <n v="3"/>
    <x v="2"/>
    <x v="1226"/>
    <n v="21143"/>
    <n v="8"/>
    <s v="Y"/>
    <x v="1"/>
    <n v="17"/>
    <n v="3"/>
    <n v="4"/>
    <n v="80"/>
    <n v="2"/>
    <n v="11"/>
    <n v="3"/>
    <n v="3"/>
    <n v="7"/>
    <n v="0"/>
    <x v="1"/>
    <x v="4"/>
  </r>
  <r>
    <x v="19"/>
    <x v="1"/>
    <x v="0"/>
    <n v="1142"/>
    <x v="1"/>
    <x v="1"/>
    <n v="3"/>
    <x v="0"/>
    <n v="1"/>
    <n v="1860"/>
    <n v="4"/>
    <x v="1"/>
    <x v="6"/>
    <n v="3"/>
    <n v="1"/>
    <x v="2"/>
    <n v="3"/>
    <x v="0"/>
    <x v="1227"/>
    <n v="13624"/>
    <n v="4"/>
    <s v="Y"/>
    <x v="1"/>
    <n v="13"/>
    <n v="3"/>
    <n v="4"/>
    <n v="80"/>
    <n v="0"/>
    <n v="8"/>
    <n v="3"/>
    <n v="3"/>
    <n v="0"/>
    <n v="0"/>
    <x v="0"/>
    <x v="2"/>
  </r>
  <r>
    <x v="5"/>
    <x v="0"/>
    <x v="0"/>
    <n v="414"/>
    <x v="0"/>
    <x v="2"/>
    <n v="4"/>
    <x v="3"/>
    <n v="1"/>
    <n v="1862"/>
    <n v="3"/>
    <x v="1"/>
    <x v="19"/>
    <n v="2"/>
    <n v="2"/>
    <x v="0"/>
    <n v="2"/>
    <x v="0"/>
    <x v="1228"/>
    <n v="26186"/>
    <n v="7"/>
    <s v="Y"/>
    <x v="0"/>
    <n v="12"/>
    <n v="3"/>
    <n v="3"/>
    <n v="80"/>
    <n v="0"/>
    <n v="7"/>
    <n v="3"/>
    <n v="2"/>
    <n v="2"/>
    <n v="2"/>
    <x v="3"/>
    <x v="3"/>
  </r>
  <r>
    <x v="21"/>
    <x v="1"/>
    <x v="0"/>
    <n v="1319"/>
    <x v="0"/>
    <x v="3"/>
    <n v="3"/>
    <x v="4"/>
    <n v="1"/>
    <n v="1863"/>
    <n v="1"/>
    <x v="0"/>
    <x v="18"/>
    <n v="4"/>
    <n v="4"/>
    <x v="0"/>
    <n v="1"/>
    <x v="2"/>
    <x v="1229"/>
    <n v="7739"/>
    <n v="2"/>
    <s v="Y"/>
    <x v="1"/>
    <n v="12"/>
    <n v="3"/>
    <n v="4"/>
    <n v="80"/>
    <n v="1"/>
    <n v="25"/>
    <n v="5"/>
    <n v="3"/>
    <n v="19"/>
    <n v="17"/>
    <x v="3"/>
    <x v="5"/>
  </r>
  <r>
    <x v="4"/>
    <x v="1"/>
    <x v="0"/>
    <n v="728"/>
    <x v="0"/>
    <x v="5"/>
    <n v="1"/>
    <x v="2"/>
    <n v="1"/>
    <n v="1864"/>
    <n v="2"/>
    <x v="0"/>
    <x v="34"/>
    <n v="2"/>
    <n v="2"/>
    <x v="6"/>
    <n v="3"/>
    <x v="1"/>
    <x v="1230"/>
    <n v="7018"/>
    <n v="1"/>
    <s v="Y"/>
    <x v="1"/>
    <n v="21"/>
    <n v="4"/>
    <n v="4"/>
    <n v="80"/>
    <n v="1"/>
    <n v="9"/>
    <n v="5"/>
    <n v="3"/>
    <n v="9"/>
    <n v="8"/>
    <x v="8"/>
    <x v="5"/>
  </r>
  <r>
    <x v="11"/>
    <x v="1"/>
    <x v="0"/>
    <n v="352"/>
    <x v="2"/>
    <x v="16"/>
    <n v="1"/>
    <x v="2"/>
    <n v="1"/>
    <n v="1865"/>
    <n v="4"/>
    <x v="1"/>
    <x v="44"/>
    <n v="2"/>
    <n v="1"/>
    <x v="8"/>
    <n v="2"/>
    <x v="1"/>
    <x v="1231"/>
    <n v="15434"/>
    <n v="1"/>
    <s v="Y"/>
    <x v="1"/>
    <n v="11"/>
    <n v="3"/>
    <n v="4"/>
    <n v="80"/>
    <n v="0"/>
    <n v="1"/>
    <n v="3"/>
    <n v="3"/>
    <n v="1"/>
    <n v="0"/>
    <x v="0"/>
    <x v="2"/>
  </r>
  <r>
    <x v="23"/>
    <x v="1"/>
    <x v="0"/>
    <n v="823"/>
    <x v="1"/>
    <x v="16"/>
    <n v="3"/>
    <x v="2"/>
    <n v="1"/>
    <n v="1866"/>
    <n v="1"/>
    <x v="0"/>
    <x v="6"/>
    <n v="2"/>
    <n v="5"/>
    <x v="5"/>
    <n v="3"/>
    <x v="1"/>
    <x v="1232"/>
    <n v="22539"/>
    <n v="7"/>
    <s v="Y"/>
    <x v="1"/>
    <n v="13"/>
    <n v="3"/>
    <n v="4"/>
    <n v="80"/>
    <n v="0"/>
    <n v="21"/>
    <n v="2"/>
    <n v="3"/>
    <n v="16"/>
    <n v="12"/>
    <x v="7"/>
    <x v="17"/>
  </r>
  <r>
    <x v="26"/>
    <x v="1"/>
    <x v="0"/>
    <n v="1224"/>
    <x v="1"/>
    <x v="17"/>
    <n v="3"/>
    <x v="0"/>
    <n v="1"/>
    <n v="1867"/>
    <n v="4"/>
    <x v="1"/>
    <x v="59"/>
    <n v="2"/>
    <n v="5"/>
    <x v="7"/>
    <n v="2"/>
    <x v="1"/>
    <x v="1233"/>
    <n v="13583"/>
    <n v="4"/>
    <s v="Y"/>
    <x v="1"/>
    <n v="12"/>
    <n v="3"/>
    <n v="4"/>
    <n v="80"/>
    <n v="0"/>
    <n v="29"/>
    <n v="3"/>
    <n v="3"/>
    <n v="22"/>
    <n v="10"/>
    <x v="12"/>
    <x v="12"/>
  </r>
  <r>
    <x v="11"/>
    <x v="0"/>
    <x v="1"/>
    <n v="459"/>
    <x v="1"/>
    <x v="4"/>
    <n v="2"/>
    <x v="0"/>
    <n v="1"/>
    <n v="1868"/>
    <n v="4"/>
    <x v="1"/>
    <x v="32"/>
    <n v="2"/>
    <n v="1"/>
    <x v="1"/>
    <n v="4"/>
    <x v="0"/>
    <x v="1234"/>
    <n v="14753"/>
    <n v="1"/>
    <s v="Y"/>
    <x v="0"/>
    <n v="24"/>
    <n v="4"/>
    <n v="2"/>
    <n v="80"/>
    <n v="0"/>
    <n v="1"/>
    <n v="3"/>
    <n v="2"/>
    <n v="1"/>
    <n v="0"/>
    <x v="1"/>
    <x v="2"/>
  </r>
  <r>
    <x v="21"/>
    <x v="0"/>
    <x v="0"/>
    <n v="1254"/>
    <x v="0"/>
    <x v="17"/>
    <n v="3"/>
    <x v="0"/>
    <n v="1"/>
    <n v="1869"/>
    <n v="3"/>
    <x v="0"/>
    <x v="51"/>
    <n v="3"/>
    <n v="3"/>
    <x v="0"/>
    <n v="2"/>
    <x v="1"/>
    <x v="1235"/>
    <n v="14011"/>
    <n v="5"/>
    <s v="Y"/>
    <x v="1"/>
    <n v="21"/>
    <n v="4"/>
    <n v="3"/>
    <n v="80"/>
    <n v="3"/>
    <n v="14"/>
    <n v="2"/>
    <n v="3"/>
    <n v="8"/>
    <n v="7"/>
    <x v="0"/>
    <x v="1"/>
  </r>
  <r>
    <x v="4"/>
    <x v="1"/>
    <x v="1"/>
    <n v="1131"/>
    <x v="1"/>
    <x v="8"/>
    <n v="3"/>
    <x v="0"/>
    <n v="1"/>
    <n v="1870"/>
    <n v="4"/>
    <x v="0"/>
    <x v="57"/>
    <n v="2"/>
    <n v="1"/>
    <x v="1"/>
    <n v="1"/>
    <x v="1"/>
    <x v="1236"/>
    <n v="23844"/>
    <n v="0"/>
    <s v="Y"/>
    <x v="1"/>
    <n v="19"/>
    <n v="3"/>
    <n v="4"/>
    <n v="80"/>
    <n v="1"/>
    <n v="8"/>
    <n v="2"/>
    <n v="2"/>
    <n v="7"/>
    <n v="6"/>
    <x v="4"/>
    <x v="6"/>
  </r>
  <r>
    <x v="22"/>
    <x v="1"/>
    <x v="0"/>
    <n v="835"/>
    <x v="1"/>
    <x v="10"/>
    <n v="4"/>
    <x v="1"/>
    <n v="1"/>
    <n v="1871"/>
    <n v="4"/>
    <x v="1"/>
    <x v="26"/>
    <n v="3"/>
    <n v="2"/>
    <x v="1"/>
    <n v="4"/>
    <x v="2"/>
    <x v="1237"/>
    <n v="5141"/>
    <n v="8"/>
    <s v="Y"/>
    <x v="1"/>
    <n v="14"/>
    <n v="3"/>
    <n v="2"/>
    <n v="80"/>
    <n v="3"/>
    <n v="7"/>
    <n v="2"/>
    <n v="3"/>
    <n v="2"/>
    <n v="2"/>
    <x v="3"/>
    <x v="3"/>
  </r>
  <r>
    <x v="27"/>
    <x v="1"/>
    <x v="0"/>
    <n v="836"/>
    <x v="1"/>
    <x v="2"/>
    <n v="4"/>
    <x v="4"/>
    <n v="1"/>
    <n v="1873"/>
    <n v="2"/>
    <x v="1"/>
    <x v="33"/>
    <n v="2"/>
    <n v="1"/>
    <x v="1"/>
    <n v="4"/>
    <x v="1"/>
    <x v="1238"/>
    <n v="7975"/>
    <n v="8"/>
    <s v="Y"/>
    <x v="1"/>
    <n v="20"/>
    <n v="4"/>
    <n v="2"/>
    <n v="80"/>
    <n v="1"/>
    <n v="19"/>
    <n v="2"/>
    <n v="4"/>
    <n v="5"/>
    <n v="2"/>
    <x v="0"/>
    <x v="10"/>
  </r>
  <r>
    <x v="14"/>
    <x v="1"/>
    <x v="0"/>
    <n v="1172"/>
    <x v="0"/>
    <x v="3"/>
    <n v="3"/>
    <x v="2"/>
    <n v="1"/>
    <n v="1875"/>
    <n v="2"/>
    <x v="0"/>
    <x v="17"/>
    <n v="3"/>
    <n v="1"/>
    <x v="6"/>
    <n v="2"/>
    <x v="1"/>
    <x v="1239"/>
    <n v="3692"/>
    <n v="1"/>
    <s v="Y"/>
    <x v="1"/>
    <n v="19"/>
    <n v="3"/>
    <n v="4"/>
    <n v="80"/>
    <n v="1"/>
    <n v="1"/>
    <n v="3"/>
    <n v="3"/>
    <n v="1"/>
    <n v="0"/>
    <x v="0"/>
    <x v="2"/>
  </r>
  <r>
    <x v="7"/>
    <x v="0"/>
    <x v="0"/>
    <n v="945"/>
    <x v="0"/>
    <x v="14"/>
    <n v="3"/>
    <x v="2"/>
    <n v="1"/>
    <n v="1876"/>
    <n v="2"/>
    <x v="1"/>
    <x v="66"/>
    <n v="3"/>
    <n v="1"/>
    <x v="6"/>
    <n v="4"/>
    <x v="0"/>
    <x v="1240"/>
    <n v="16019"/>
    <n v="1"/>
    <s v="Y"/>
    <x v="1"/>
    <n v="13"/>
    <n v="3"/>
    <n v="3"/>
    <n v="80"/>
    <n v="0"/>
    <n v="1"/>
    <n v="3"/>
    <n v="2"/>
    <n v="1"/>
    <n v="0"/>
    <x v="0"/>
    <x v="2"/>
  </r>
  <r>
    <x v="15"/>
    <x v="0"/>
    <x v="0"/>
    <n v="391"/>
    <x v="1"/>
    <x v="15"/>
    <n v="1"/>
    <x v="0"/>
    <n v="1"/>
    <n v="1878"/>
    <n v="4"/>
    <x v="1"/>
    <x v="29"/>
    <n v="3"/>
    <n v="1"/>
    <x v="1"/>
    <n v="2"/>
    <x v="0"/>
    <x v="1241"/>
    <n v="26092"/>
    <n v="1"/>
    <s v="Y"/>
    <x v="0"/>
    <n v="23"/>
    <n v="4"/>
    <n v="1"/>
    <n v="80"/>
    <n v="0"/>
    <n v="1"/>
    <n v="2"/>
    <n v="3"/>
    <n v="1"/>
    <n v="0"/>
    <x v="0"/>
    <x v="2"/>
  </r>
  <r>
    <x v="9"/>
    <x v="1"/>
    <x v="0"/>
    <n v="1266"/>
    <x v="0"/>
    <x v="17"/>
    <n v="4"/>
    <x v="4"/>
    <n v="1"/>
    <n v="1880"/>
    <n v="2"/>
    <x v="0"/>
    <x v="52"/>
    <n v="2"/>
    <n v="2"/>
    <x v="0"/>
    <n v="3"/>
    <x v="1"/>
    <x v="1242"/>
    <n v="6060"/>
    <n v="1"/>
    <s v="Y"/>
    <x v="0"/>
    <n v="13"/>
    <n v="3"/>
    <n v="1"/>
    <n v="80"/>
    <n v="1"/>
    <n v="10"/>
    <n v="4"/>
    <n v="3"/>
    <n v="10"/>
    <n v="9"/>
    <x v="1"/>
    <x v="1"/>
  </r>
  <r>
    <x v="12"/>
    <x v="1"/>
    <x v="0"/>
    <n v="311"/>
    <x v="1"/>
    <x v="25"/>
    <n v="3"/>
    <x v="0"/>
    <n v="1"/>
    <n v="1881"/>
    <n v="2"/>
    <x v="1"/>
    <x v="66"/>
    <n v="3"/>
    <n v="2"/>
    <x v="2"/>
    <n v="3"/>
    <x v="2"/>
    <x v="378"/>
    <n v="18624"/>
    <n v="1"/>
    <s v="Y"/>
    <x v="1"/>
    <n v="11"/>
    <n v="3"/>
    <n v="1"/>
    <n v="80"/>
    <n v="1"/>
    <n v="10"/>
    <n v="2"/>
    <n v="3"/>
    <n v="10"/>
    <n v="8"/>
    <x v="0"/>
    <x v="3"/>
  </r>
  <r>
    <x v="13"/>
    <x v="1"/>
    <x v="0"/>
    <n v="1480"/>
    <x v="0"/>
    <x v="18"/>
    <n v="3"/>
    <x v="0"/>
    <n v="1"/>
    <n v="1882"/>
    <n v="3"/>
    <x v="1"/>
    <x v="51"/>
    <n v="3"/>
    <n v="3"/>
    <x v="0"/>
    <n v="4"/>
    <x v="1"/>
    <x v="1243"/>
    <n v="24444"/>
    <n v="2"/>
    <s v="Y"/>
    <x v="0"/>
    <n v="13"/>
    <n v="3"/>
    <n v="4"/>
    <n v="80"/>
    <n v="3"/>
    <n v="9"/>
    <n v="3"/>
    <n v="3"/>
    <n v="5"/>
    <n v="3"/>
    <x v="1"/>
    <x v="2"/>
  </r>
  <r>
    <x v="11"/>
    <x v="1"/>
    <x v="0"/>
    <n v="592"/>
    <x v="1"/>
    <x v="15"/>
    <n v="3"/>
    <x v="0"/>
    <n v="1"/>
    <n v="1883"/>
    <n v="4"/>
    <x v="1"/>
    <x v="40"/>
    <n v="3"/>
    <n v="1"/>
    <x v="2"/>
    <n v="1"/>
    <x v="0"/>
    <x v="1244"/>
    <n v="19384"/>
    <n v="3"/>
    <s v="Y"/>
    <x v="1"/>
    <n v="14"/>
    <n v="3"/>
    <n v="2"/>
    <n v="80"/>
    <n v="0"/>
    <n v="11"/>
    <n v="2"/>
    <n v="3"/>
    <n v="3"/>
    <n v="2"/>
    <x v="1"/>
    <x v="3"/>
  </r>
  <r>
    <x v="2"/>
    <x v="1"/>
    <x v="0"/>
    <n v="783"/>
    <x v="1"/>
    <x v="15"/>
    <n v="4"/>
    <x v="2"/>
    <n v="1"/>
    <n v="1885"/>
    <n v="4"/>
    <x v="1"/>
    <x v="17"/>
    <n v="3"/>
    <n v="2"/>
    <x v="1"/>
    <n v="1"/>
    <x v="1"/>
    <x v="948"/>
    <n v="13588"/>
    <n v="5"/>
    <s v="Y"/>
    <x v="0"/>
    <n v="22"/>
    <n v="4"/>
    <n v="3"/>
    <n v="80"/>
    <n v="1"/>
    <n v="16"/>
    <n v="2"/>
    <n v="3"/>
    <n v="5"/>
    <n v="3"/>
    <x v="0"/>
    <x v="10"/>
  </r>
  <r>
    <x v="10"/>
    <x v="1"/>
    <x v="0"/>
    <n v="219"/>
    <x v="1"/>
    <x v="7"/>
    <n v="2"/>
    <x v="1"/>
    <n v="1"/>
    <n v="1886"/>
    <n v="4"/>
    <x v="0"/>
    <x v="8"/>
    <n v="2"/>
    <n v="2"/>
    <x v="3"/>
    <n v="2"/>
    <x v="1"/>
    <x v="1245"/>
    <n v="25388"/>
    <n v="0"/>
    <s v="Y"/>
    <x v="0"/>
    <n v="11"/>
    <n v="3"/>
    <n v="4"/>
    <n v="80"/>
    <n v="0"/>
    <n v="4"/>
    <n v="2"/>
    <n v="3"/>
    <n v="3"/>
    <n v="2"/>
    <x v="0"/>
    <x v="3"/>
  </r>
  <r>
    <x v="28"/>
    <x v="1"/>
    <x v="0"/>
    <n v="556"/>
    <x v="1"/>
    <x v="19"/>
    <n v="2"/>
    <x v="0"/>
    <n v="1"/>
    <n v="1888"/>
    <n v="2"/>
    <x v="0"/>
    <x v="12"/>
    <n v="2"/>
    <n v="2"/>
    <x v="3"/>
    <n v="4"/>
    <x v="1"/>
    <x v="1246"/>
    <n v="23888"/>
    <n v="0"/>
    <s v="Y"/>
    <x v="1"/>
    <n v="13"/>
    <n v="3"/>
    <n v="4"/>
    <n v="80"/>
    <n v="2"/>
    <n v="10"/>
    <n v="2"/>
    <n v="2"/>
    <n v="9"/>
    <n v="8"/>
    <x v="2"/>
    <x v="5"/>
  </r>
  <r>
    <x v="9"/>
    <x v="1"/>
    <x v="1"/>
    <n v="1213"/>
    <x v="2"/>
    <x v="2"/>
    <n v="1"/>
    <x v="5"/>
    <n v="1"/>
    <n v="1890"/>
    <n v="2"/>
    <x v="1"/>
    <x v="0"/>
    <n v="2"/>
    <n v="2"/>
    <x v="8"/>
    <n v="4"/>
    <x v="0"/>
    <x v="1247"/>
    <n v="4223"/>
    <n v="1"/>
    <s v="Y"/>
    <x v="1"/>
    <n v="21"/>
    <n v="4"/>
    <n v="4"/>
    <n v="80"/>
    <n v="0"/>
    <n v="10"/>
    <n v="2"/>
    <n v="2"/>
    <n v="10"/>
    <n v="1"/>
    <x v="0"/>
    <x v="5"/>
  </r>
  <r>
    <x v="32"/>
    <x v="1"/>
    <x v="0"/>
    <n v="1137"/>
    <x v="1"/>
    <x v="0"/>
    <n v="4"/>
    <x v="0"/>
    <n v="1"/>
    <n v="1892"/>
    <n v="1"/>
    <x v="1"/>
    <x v="33"/>
    <n v="3"/>
    <n v="4"/>
    <x v="5"/>
    <n v="1"/>
    <x v="2"/>
    <x v="1248"/>
    <n v="18991"/>
    <n v="2"/>
    <s v="Y"/>
    <x v="1"/>
    <n v="11"/>
    <n v="3"/>
    <n v="1"/>
    <n v="80"/>
    <n v="1"/>
    <n v="22"/>
    <n v="3"/>
    <n v="3"/>
    <n v="19"/>
    <n v="7"/>
    <x v="14"/>
    <x v="16"/>
  </r>
  <r>
    <x v="25"/>
    <x v="1"/>
    <x v="0"/>
    <n v="482"/>
    <x v="1"/>
    <x v="0"/>
    <n v="2"/>
    <x v="0"/>
    <n v="1"/>
    <n v="1893"/>
    <n v="2"/>
    <x v="0"/>
    <x v="62"/>
    <n v="2"/>
    <n v="1"/>
    <x v="1"/>
    <n v="3"/>
    <x v="1"/>
    <x v="1249"/>
    <n v="14908"/>
    <n v="1"/>
    <s v="Y"/>
    <x v="0"/>
    <n v="13"/>
    <n v="3"/>
    <n v="3"/>
    <n v="80"/>
    <n v="1"/>
    <n v="1"/>
    <n v="3"/>
    <n v="2"/>
    <n v="1"/>
    <n v="0"/>
    <x v="1"/>
    <x v="2"/>
  </r>
  <r>
    <x v="4"/>
    <x v="1"/>
    <x v="0"/>
    <n v="511"/>
    <x v="0"/>
    <x v="2"/>
    <n v="2"/>
    <x v="2"/>
    <n v="1"/>
    <n v="1898"/>
    <n v="1"/>
    <x v="0"/>
    <x v="66"/>
    <n v="4"/>
    <n v="2"/>
    <x v="0"/>
    <n v="3"/>
    <x v="0"/>
    <x v="559"/>
    <n v="26997"/>
    <n v="0"/>
    <s v="Y"/>
    <x v="1"/>
    <n v="14"/>
    <n v="3"/>
    <n v="2"/>
    <n v="80"/>
    <n v="0"/>
    <n v="9"/>
    <n v="5"/>
    <n v="2"/>
    <n v="8"/>
    <n v="7"/>
    <x v="0"/>
    <x v="1"/>
  </r>
  <r>
    <x v="26"/>
    <x v="1"/>
    <x v="1"/>
    <n v="117"/>
    <x v="1"/>
    <x v="23"/>
    <n v="3"/>
    <x v="2"/>
    <n v="1"/>
    <n v="1900"/>
    <n v="4"/>
    <x v="0"/>
    <x v="22"/>
    <n v="3"/>
    <n v="4"/>
    <x v="5"/>
    <n v="4"/>
    <x v="2"/>
    <x v="1250"/>
    <n v="2437"/>
    <n v="3"/>
    <s v="Y"/>
    <x v="1"/>
    <n v="11"/>
    <n v="3"/>
    <n v="2"/>
    <n v="80"/>
    <n v="1"/>
    <n v="24"/>
    <n v="3"/>
    <n v="3"/>
    <n v="22"/>
    <n v="17"/>
    <x v="5"/>
    <x v="1"/>
  </r>
  <r>
    <x v="20"/>
    <x v="1"/>
    <x v="0"/>
    <n v="170"/>
    <x v="1"/>
    <x v="0"/>
    <n v="4"/>
    <x v="0"/>
    <n v="1"/>
    <n v="1903"/>
    <n v="2"/>
    <x v="1"/>
    <x v="17"/>
    <n v="4"/>
    <n v="2"/>
    <x v="4"/>
    <n v="1"/>
    <x v="1"/>
    <x v="1251"/>
    <n v="9364"/>
    <n v="2"/>
    <s v="Y"/>
    <x v="1"/>
    <n v="15"/>
    <n v="3"/>
    <n v="4"/>
    <n v="80"/>
    <n v="1"/>
    <n v="10"/>
    <n v="5"/>
    <n v="3"/>
    <n v="2"/>
    <n v="0"/>
    <x v="3"/>
    <x v="3"/>
  </r>
  <r>
    <x v="13"/>
    <x v="0"/>
    <x v="2"/>
    <n v="967"/>
    <x v="1"/>
    <x v="7"/>
    <n v="4"/>
    <x v="4"/>
    <n v="1"/>
    <n v="1905"/>
    <n v="4"/>
    <x v="1"/>
    <x v="65"/>
    <n v="1"/>
    <n v="1"/>
    <x v="1"/>
    <n v="1"/>
    <x v="1"/>
    <x v="1252"/>
    <n v="14460"/>
    <n v="1"/>
    <s v="Y"/>
    <x v="0"/>
    <n v="23"/>
    <n v="4"/>
    <n v="2"/>
    <n v="80"/>
    <n v="1"/>
    <n v="5"/>
    <n v="2"/>
    <n v="3"/>
    <n v="5"/>
    <n v="2"/>
    <x v="2"/>
    <x v="2"/>
  </r>
  <r>
    <x v="29"/>
    <x v="0"/>
    <x v="0"/>
    <n v="1162"/>
    <x v="1"/>
    <x v="4"/>
    <n v="2"/>
    <x v="0"/>
    <n v="1"/>
    <n v="1907"/>
    <n v="1"/>
    <x v="1"/>
    <x v="28"/>
    <n v="3"/>
    <n v="1"/>
    <x v="2"/>
    <n v="4"/>
    <x v="0"/>
    <x v="1105"/>
    <n v="10261"/>
    <n v="1"/>
    <s v="Y"/>
    <x v="1"/>
    <n v="16"/>
    <n v="3"/>
    <n v="4"/>
    <n v="80"/>
    <n v="0"/>
    <n v="5"/>
    <n v="3"/>
    <n v="3"/>
    <n v="4"/>
    <n v="2"/>
    <x v="1"/>
    <x v="2"/>
  </r>
  <r>
    <x v="9"/>
    <x v="1"/>
    <x v="0"/>
    <n v="335"/>
    <x v="0"/>
    <x v="27"/>
    <n v="2"/>
    <x v="3"/>
    <n v="1"/>
    <n v="1908"/>
    <n v="3"/>
    <x v="1"/>
    <x v="30"/>
    <n v="2"/>
    <n v="2"/>
    <x v="0"/>
    <n v="2"/>
    <x v="1"/>
    <x v="1253"/>
    <n v="16822"/>
    <n v="2"/>
    <s v="Y"/>
    <x v="1"/>
    <n v="16"/>
    <n v="3"/>
    <n v="3"/>
    <n v="80"/>
    <n v="2"/>
    <n v="12"/>
    <n v="1"/>
    <n v="1"/>
    <n v="4"/>
    <n v="2"/>
    <x v="1"/>
    <x v="6"/>
  </r>
  <r>
    <x v="0"/>
    <x v="1"/>
    <x v="0"/>
    <n v="337"/>
    <x v="0"/>
    <x v="1"/>
    <n v="3"/>
    <x v="3"/>
    <n v="1"/>
    <n v="1909"/>
    <n v="3"/>
    <x v="0"/>
    <x v="60"/>
    <n v="3"/>
    <n v="2"/>
    <x v="0"/>
    <n v="2"/>
    <x v="1"/>
    <x v="1254"/>
    <n v="26841"/>
    <n v="5"/>
    <s v="Y"/>
    <x v="1"/>
    <n v="21"/>
    <n v="4"/>
    <n v="3"/>
    <n v="80"/>
    <n v="1"/>
    <n v="14"/>
    <n v="3"/>
    <n v="3"/>
    <n v="5"/>
    <n v="4"/>
    <x v="1"/>
    <x v="10"/>
  </r>
  <r>
    <x v="19"/>
    <x v="1"/>
    <x v="0"/>
    <n v="1396"/>
    <x v="1"/>
    <x v="16"/>
    <n v="3"/>
    <x v="2"/>
    <n v="1"/>
    <n v="1911"/>
    <n v="3"/>
    <x v="1"/>
    <x v="21"/>
    <n v="3"/>
    <n v="3"/>
    <x v="7"/>
    <n v="1"/>
    <x v="1"/>
    <x v="1255"/>
    <n v="14842"/>
    <n v="9"/>
    <s v="Y"/>
    <x v="1"/>
    <n v="13"/>
    <n v="3"/>
    <n v="2"/>
    <n v="80"/>
    <n v="1"/>
    <n v="18"/>
    <n v="3"/>
    <n v="4"/>
    <n v="13"/>
    <n v="7"/>
    <x v="8"/>
    <x v="1"/>
  </r>
  <r>
    <x v="12"/>
    <x v="1"/>
    <x v="0"/>
    <n v="1079"/>
    <x v="0"/>
    <x v="17"/>
    <n v="2"/>
    <x v="2"/>
    <n v="1"/>
    <n v="1912"/>
    <n v="3"/>
    <x v="0"/>
    <x v="27"/>
    <n v="3"/>
    <n v="2"/>
    <x v="0"/>
    <n v="4"/>
    <x v="2"/>
    <x v="1256"/>
    <n v="20115"/>
    <n v="2"/>
    <s v="Y"/>
    <x v="0"/>
    <n v="11"/>
    <n v="3"/>
    <n v="4"/>
    <n v="80"/>
    <n v="1"/>
    <n v="8"/>
    <n v="2"/>
    <n v="3"/>
    <n v="5"/>
    <n v="2"/>
    <x v="1"/>
    <x v="10"/>
  </r>
  <r>
    <x v="13"/>
    <x v="1"/>
    <x v="0"/>
    <n v="735"/>
    <x v="0"/>
    <x v="3"/>
    <n v="1"/>
    <x v="2"/>
    <n v="1"/>
    <n v="1915"/>
    <n v="4"/>
    <x v="0"/>
    <x v="29"/>
    <n v="2"/>
    <n v="2"/>
    <x v="0"/>
    <n v="4"/>
    <x v="1"/>
    <x v="1257"/>
    <n v="16495"/>
    <n v="3"/>
    <s v="Y"/>
    <x v="0"/>
    <n v="12"/>
    <n v="3"/>
    <n v="3"/>
    <n v="80"/>
    <n v="0"/>
    <n v="9"/>
    <n v="3"/>
    <n v="2"/>
    <n v="4"/>
    <n v="2"/>
    <x v="0"/>
    <x v="9"/>
  </r>
  <r>
    <x v="12"/>
    <x v="1"/>
    <x v="0"/>
    <n v="471"/>
    <x v="1"/>
    <x v="18"/>
    <n v="3"/>
    <x v="2"/>
    <n v="1"/>
    <n v="1916"/>
    <n v="1"/>
    <x v="0"/>
    <x v="50"/>
    <n v="4"/>
    <n v="1"/>
    <x v="2"/>
    <n v="3"/>
    <x v="2"/>
    <x v="1258"/>
    <n v="16031"/>
    <n v="8"/>
    <s v="Y"/>
    <x v="1"/>
    <n v="12"/>
    <n v="3"/>
    <n v="2"/>
    <n v="80"/>
    <n v="1"/>
    <n v="4"/>
    <n v="0"/>
    <n v="2"/>
    <n v="2"/>
    <n v="2"/>
    <x v="3"/>
    <x v="3"/>
  </r>
  <r>
    <x v="25"/>
    <x v="1"/>
    <x v="1"/>
    <n v="1096"/>
    <x v="1"/>
    <x v="16"/>
    <n v="3"/>
    <x v="1"/>
    <n v="1"/>
    <n v="1918"/>
    <n v="3"/>
    <x v="1"/>
    <x v="1"/>
    <n v="4"/>
    <n v="1"/>
    <x v="2"/>
    <n v="4"/>
    <x v="1"/>
    <x v="1259"/>
    <n v="7102"/>
    <n v="0"/>
    <s v="Y"/>
    <x v="1"/>
    <n v="18"/>
    <n v="3"/>
    <n v="1"/>
    <n v="80"/>
    <n v="1"/>
    <n v="8"/>
    <n v="3"/>
    <n v="3"/>
    <n v="7"/>
    <n v="7"/>
    <x v="4"/>
    <x v="1"/>
  </r>
  <r>
    <x v="28"/>
    <x v="1"/>
    <x v="1"/>
    <n v="1297"/>
    <x v="1"/>
    <x v="0"/>
    <n v="4"/>
    <x v="2"/>
    <n v="1"/>
    <n v="1922"/>
    <n v="2"/>
    <x v="1"/>
    <x v="8"/>
    <n v="3"/>
    <n v="2"/>
    <x v="4"/>
    <n v="3"/>
    <x v="0"/>
    <x v="1260"/>
    <n v="14511"/>
    <n v="4"/>
    <s v="Y"/>
    <x v="1"/>
    <n v="12"/>
    <n v="3"/>
    <n v="3"/>
    <n v="80"/>
    <n v="0"/>
    <n v="12"/>
    <n v="3"/>
    <n v="3"/>
    <n v="4"/>
    <n v="2"/>
    <x v="0"/>
    <x v="6"/>
  </r>
  <r>
    <x v="3"/>
    <x v="1"/>
    <x v="0"/>
    <n v="217"/>
    <x v="0"/>
    <x v="17"/>
    <n v="4"/>
    <x v="3"/>
    <n v="1"/>
    <n v="1924"/>
    <n v="2"/>
    <x v="1"/>
    <x v="38"/>
    <n v="3"/>
    <n v="2"/>
    <x v="0"/>
    <n v="3"/>
    <x v="0"/>
    <x v="1261"/>
    <n v="10410"/>
    <n v="1"/>
    <s v="Y"/>
    <x v="1"/>
    <n v="14"/>
    <n v="3"/>
    <n v="2"/>
    <n v="80"/>
    <n v="0"/>
    <n v="10"/>
    <n v="2"/>
    <n v="2"/>
    <n v="10"/>
    <n v="4"/>
    <x v="0"/>
    <x v="12"/>
  </r>
  <r>
    <x v="14"/>
    <x v="1"/>
    <x v="1"/>
    <n v="783"/>
    <x v="0"/>
    <x v="0"/>
    <n v="2"/>
    <x v="0"/>
    <n v="1"/>
    <n v="1927"/>
    <n v="3"/>
    <x v="1"/>
    <x v="25"/>
    <n v="2"/>
    <n v="2"/>
    <x v="0"/>
    <n v="4"/>
    <x v="1"/>
    <x v="1262"/>
    <n v="19255"/>
    <n v="1"/>
    <s v="Y"/>
    <x v="0"/>
    <n v="12"/>
    <n v="3"/>
    <n v="3"/>
    <n v="80"/>
    <n v="1"/>
    <n v="7"/>
    <n v="2"/>
    <n v="3"/>
    <n v="7"/>
    <n v="7"/>
    <x v="0"/>
    <x v="1"/>
  </r>
  <r>
    <x v="11"/>
    <x v="0"/>
    <x v="1"/>
    <n v="746"/>
    <x v="0"/>
    <x v="4"/>
    <n v="3"/>
    <x v="4"/>
    <n v="1"/>
    <n v="1928"/>
    <n v="3"/>
    <x v="1"/>
    <x v="18"/>
    <n v="4"/>
    <n v="1"/>
    <x v="6"/>
    <n v="1"/>
    <x v="0"/>
    <x v="1263"/>
    <n v="10642"/>
    <n v="1"/>
    <s v="Y"/>
    <x v="1"/>
    <n v="17"/>
    <n v="3"/>
    <n v="4"/>
    <n v="80"/>
    <n v="0"/>
    <n v="1"/>
    <n v="3"/>
    <n v="3"/>
    <n v="1"/>
    <n v="0"/>
    <x v="0"/>
    <x v="2"/>
  </r>
  <r>
    <x v="22"/>
    <x v="1"/>
    <x v="2"/>
    <n v="1251"/>
    <x v="0"/>
    <x v="11"/>
    <n v="4"/>
    <x v="0"/>
    <n v="1"/>
    <n v="1929"/>
    <n v="1"/>
    <x v="0"/>
    <x v="47"/>
    <n v="1"/>
    <n v="2"/>
    <x v="0"/>
    <n v="3"/>
    <x v="1"/>
    <x v="1264"/>
    <n v="3987"/>
    <n v="6"/>
    <s v="Y"/>
    <x v="1"/>
    <n v="19"/>
    <n v="3"/>
    <n v="3"/>
    <n v="80"/>
    <n v="1"/>
    <n v="10"/>
    <n v="1"/>
    <n v="3"/>
    <n v="3"/>
    <n v="2"/>
    <x v="1"/>
    <x v="3"/>
  </r>
  <r>
    <x v="4"/>
    <x v="1"/>
    <x v="0"/>
    <n v="1354"/>
    <x v="1"/>
    <x v="2"/>
    <n v="4"/>
    <x v="4"/>
    <n v="1"/>
    <n v="1931"/>
    <n v="2"/>
    <x v="1"/>
    <x v="26"/>
    <n v="3"/>
    <n v="1"/>
    <x v="1"/>
    <n v="2"/>
    <x v="1"/>
    <x v="1265"/>
    <n v="6073"/>
    <n v="1"/>
    <s v="Y"/>
    <x v="1"/>
    <n v="11"/>
    <n v="3"/>
    <n v="3"/>
    <n v="80"/>
    <n v="1"/>
    <n v="6"/>
    <n v="3"/>
    <n v="2"/>
    <n v="5"/>
    <n v="3"/>
    <x v="1"/>
    <x v="3"/>
  </r>
  <r>
    <x v="13"/>
    <x v="1"/>
    <x v="1"/>
    <n v="735"/>
    <x v="1"/>
    <x v="23"/>
    <n v="4"/>
    <x v="1"/>
    <n v="1"/>
    <n v="1932"/>
    <n v="3"/>
    <x v="1"/>
    <x v="27"/>
    <n v="2"/>
    <n v="2"/>
    <x v="1"/>
    <n v="4"/>
    <x v="1"/>
    <x v="1266"/>
    <n v="26496"/>
    <n v="1"/>
    <s v="Y"/>
    <x v="0"/>
    <n v="15"/>
    <n v="3"/>
    <n v="2"/>
    <n v="80"/>
    <n v="0"/>
    <n v="16"/>
    <n v="3"/>
    <n v="3"/>
    <n v="15"/>
    <n v="10"/>
    <x v="7"/>
    <x v="7"/>
  </r>
  <r>
    <x v="14"/>
    <x v="0"/>
    <x v="0"/>
    <n v="1475"/>
    <x v="0"/>
    <x v="28"/>
    <n v="2"/>
    <x v="3"/>
    <n v="1"/>
    <n v="1933"/>
    <n v="4"/>
    <x v="0"/>
    <x v="9"/>
    <n v="3"/>
    <n v="2"/>
    <x v="0"/>
    <n v="3"/>
    <x v="0"/>
    <x v="1267"/>
    <n v="23352"/>
    <n v="3"/>
    <s v="Y"/>
    <x v="0"/>
    <n v="11"/>
    <n v="3"/>
    <n v="4"/>
    <n v="80"/>
    <n v="0"/>
    <n v="6"/>
    <n v="0"/>
    <n v="3"/>
    <n v="2"/>
    <n v="0"/>
    <x v="3"/>
    <x v="3"/>
  </r>
  <r>
    <x v="40"/>
    <x v="1"/>
    <x v="2"/>
    <n v="1169"/>
    <x v="1"/>
    <x v="24"/>
    <n v="4"/>
    <x v="4"/>
    <n v="1"/>
    <n v="1934"/>
    <n v="3"/>
    <x v="1"/>
    <x v="51"/>
    <n v="3"/>
    <n v="2"/>
    <x v="1"/>
    <n v="2"/>
    <x v="1"/>
    <x v="931"/>
    <n v="2125"/>
    <n v="8"/>
    <s v="Y"/>
    <x v="1"/>
    <n v="18"/>
    <n v="3"/>
    <n v="3"/>
    <n v="80"/>
    <n v="1"/>
    <n v="16"/>
    <n v="4"/>
    <n v="4"/>
    <n v="8"/>
    <n v="7"/>
    <x v="1"/>
    <x v="1"/>
  </r>
  <r>
    <x v="29"/>
    <x v="1"/>
    <x v="0"/>
    <n v="1443"/>
    <x v="0"/>
    <x v="13"/>
    <n v="5"/>
    <x v="3"/>
    <n v="1"/>
    <n v="1935"/>
    <n v="4"/>
    <x v="0"/>
    <x v="66"/>
    <n v="2"/>
    <n v="2"/>
    <x v="0"/>
    <n v="1"/>
    <x v="1"/>
    <x v="1268"/>
    <n v="20328"/>
    <n v="4"/>
    <s v="Y"/>
    <x v="1"/>
    <n v="16"/>
    <n v="3"/>
    <n v="3"/>
    <n v="80"/>
    <n v="1"/>
    <n v="6"/>
    <n v="3"/>
    <n v="3"/>
    <n v="0"/>
    <n v="0"/>
    <x v="0"/>
    <x v="2"/>
  </r>
  <r>
    <x v="22"/>
    <x v="1"/>
    <x v="0"/>
    <n v="867"/>
    <x v="1"/>
    <x v="14"/>
    <n v="2"/>
    <x v="2"/>
    <n v="1"/>
    <n v="1936"/>
    <n v="1"/>
    <x v="1"/>
    <x v="44"/>
    <n v="3"/>
    <n v="2"/>
    <x v="3"/>
    <n v="1"/>
    <x v="1"/>
    <x v="1269"/>
    <n v="12315"/>
    <n v="1"/>
    <s v="Y"/>
    <x v="1"/>
    <n v="25"/>
    <n v="4"/>
    <n v="4"/>
    <n v="80"/>
    <n v="1"/>
    <n v="10"/>
    <n v="3"/>
    <n v="3"/>
    <n v="10"/>
    <n v="0"/>
    <x v="4"/>
    <x v="12"/>
  </r>
  <r>
    <x v="8"/>
    <x v="1"/>
    <x v="1"/>
    <n v="1394"/>
    <x v="1"/>
    <x v="1"/>
    <n v="3"/>
    <x v="2"/>
    <n v="1"/>
    <n v="1937"/>
    <n v="4"/>
    <x v="0"/>
    <x v="22"/>
    <n v="2"/>
    <n v="2"/>
    <x v="1"/>
    <n v="2"/>
    <x v="2"/>
    <x v="1270"/>
    <n v="18115"/>
    <n v="1"/>
    <s v="Y"/>
    <x v="0"/>
    <n v="16"/>
    <n v="3"/>
    <n v="3"/>
    <n v="80"/>
    <n v="1"/>
    <n v="20"/>
    <n v="3"/>
    <n v="3"/>
    <n v="20"/>
    <n v="11"/>
    <x v="0"/>
    <x v="1"/>
  </r>
  <r>
    <x v="34"/>
    <x v="1"/>
    <x v="0"/>
    <n v="605"/>
    <x v="0"/>
    <x v="11"/>
    <n v="3"/>
    <x v="0"/>
    <n v="1"/>
    <n v="1938"/>
    <n v="4"/>
    <x v="0"/>
    <x v="23"/>
    <n v="3"/>
    <n v="4"/>
    <x v="5"/>
    <n v="4"/>
    <x v="1"/>
    <x v="1271"/>
    <n v="11761"/>
    <n v="4"/>
    <s v="Y"/>
    <x v="0"/>
    <n v="13"/>
    <n v="3"/>
    <n v="3"/>
    <n v="80"/>
    <n v="1"/>
    <n v="29"/>
    <n v="2"/>
    <n v="2"/>
    <n v="1"/>
    <n v="0"/>
    <x v="0"/>
    <x v="2"/>
  </r>
  <r>
    <x v="5"/>
    <x v="0"/>
    <x v="1"/>
    <n v="238"/>
    <x v="1"/>
    <x v="12"/>
    <n v="2"/>
    <x v="0"/>
    <n v="1"/>
    <n v="1939"/>
    <n v="1"/>
    <x v="0"/>
    <x v="35"/>
    <n v="4"/>
    <n v="1"/>
    <x v="1"/>
    <n v="3"/>
    <x v="0"/>
    <x v="1272"/>
    <n v="15318"/>
    <n v="3"/>
    <s v="Y"/>
    <x v="0"/>
    <n v="14"/>
    <n v="3"/>
    <n v="1"/>
    <n v="80"/>
    <n v="0"/>
    <n v="8"/>
    <n v="2"/>
    <n v="3"/>
    <n v="4"/>
    <n v="1"/>
    <x v="0"/>
    <x v="6"/>
  </r>
  <r>
    <x v="8"/>
    <x v="1"/>
    <x v="0"/>
    <n v="1206"/>
    <x v="1"/>
    <x v="14"/>
    <n v="2"/>
    <x v="0"/>
    <n v="1"/>
    <n v="1940"/>
    <n v="2"/>
    <x v="1"/>
    <x v="36"/>
    <n v="3"/>
    <n v="1"/>
    <x v="1"/>
    <n v="4"/>
    <x v="2"/>
    <x v="1273"/>
    <n v="14293"/>
    <n v="2"/>
    <s v="Y"/>
    <x v="1"/>
    <n v="19"/>
    <n v="3"/>
    <n v="4"/>
    <n v="80"/>
    <n v="2"/>
    <n v="10"/>
    <n v="0"/>
    <n v="4"/>
    <n v="5"/>
    <n v="2"/>
    <x v="0"/>
    <x v="6"/>
  </r>
  <r>
    <x v="1"/>
    <x v="1"/>
    <x v="1"/>
    <n v="1064"/>
    <x v="1"/>
    <x v="2"/>
    <n v="1"/>
    <x v="0"/>
    <n v="1"/>
    <n v="1941"/>
    <n v="2"/>
    <x v="1"/>
    <x v="25"/>
    <n v="3"/>
    <n v="5"/>
    <x v="7"/>
    <n v="4"/>
    <x v="1"/>
    <x v="1274"/>
    <n v="13738"/>
    <n v="3"/>
    <s v="Y"/>
    <x v="1"/>
    <n v="15"/>
    <n v="3"/>
    <n v="4"/>
    <n v="80"/>
    <n v="0"/>
    <n v="28"/>
    <n v="3"/>
    <n v="3"/>
    <n v="5"/>
    <n v="4"/>
    <x v="5"/>
    <x v="6"/>
  </r>
  <r>
    <x v="19"/>
    <x v="1"/>
    <x v="0"/>
    <n v="419"/>
    <x v="0"/>
    <x v="20"/>
    <n v="4"/>
    <x v="3"/>
    <n v="1"/>
    <n v="1943"/>
    <n v="2"/>
    <x v="1"/>
    <x v="57"/>
    <n v="3"/>
    <n v="2"/>
    <x v="0"/>
    <n v="4"/>
    <x v="2"/>
    <x v="1275"/>
    <n v="2900"/>
    <n v="3"/>
    <s v="Y"/>
    <x v="0"/>
    <n v="12"/>
    <n v="3"/>
    <n v="3"/>
    <n v="80"/>
    <n v="2"/>
    <n v="14"/>
    <n v="4"/>
    <n v="3"/>
    <n v="0"/>
    <n v="0"/>
    <x v="0"/>
    <x v="2"/>
  </r>
  <r>
    <x v="4"/>
    <x v="0"/>
    <x v="1"/>
    <n v="1337"/>
    <x v="2"/>
    <x v="23"/>
    <n v="3"/>
    <x v="5"/>
    <n v="1"/>
    <n v="1944"/>
    <n v="1"/>
    <x v="0"/>
    <x v="22"/>
    <n v="2"/>
    <n v="1"/>
    <x v="8"/>
    <n v="2"/>
    <x v="1"/>
    <x v="1276"/>
    <n v="19555"/>
    <n v="1"/>
    <s v="Y"/>
    <x v="1"/>
    <n v="12"/>
    <n v="3"/>
    <n v="1"/>
    <n v="80"/>
    <n v="0"/>
    <n v="1"/>
    <n v="2"/>
    <n v="3"/>
    <n v="1"/>
    <n v="0"/>
    <x v="0"/>
    <x v="2"/>
  </r>
  <r>
    <x v="10"/>
    <x v="1"/>
    <x v="0"/>
    <n v="682"/>
    <x v="0"/>
    <x v="21"/>
    <n v="4"/>
    <x v="2"/>
    <n v="1"/>
    <n v="1945"/>
    <n v="2"/>
    <x v="1"/>
    <x v="36"/>
    <n v="3"/>
    <n v="2"/>
    <x v="0"/>
    <n v="1"/>
    <x v="1"/>
    <x v="489"/>
    <n v="15975"/>
    <n v="0"/>
    <s v="Y"/>
    <x v="1"/>
    <n v="16"/>
    <n v="3"/>
    <n v="4"/>
    <n v="80"/>
    <n v="1"/>
    <n v="6"/>
    <n v="2"/>
    <n v="1"/>
    <n v="5"/>
    <n v="3"/>
    <x v="0"/>
    <x v="10"/>
  </r>
  <r>
    <x v="14"/>
    <x v="1"/>
    <x v="2"/>
    <n v="1103"/>
    <x v="1"/>
    <x v="7"/>
    <n v="3"/>
    <x v="2"/>
    <n v="1"/>
    <n v="1947"/>
    <n v="3"/>
    <x v="1"/>
    <x v="10"/>
    <n v="3"/>
    <n v="1"/>
    <x v="1"/>
    <n v="3"/>
    <x v="0"/>
    <x v="1277"/>
    <n v="2122"/>
    <n v="1"/>
    <s v="Y"/>
    <x v="1"/>
    <n v="14"/>
    <n v="3"/>
    <n v="3"/>
    <n v="80"/>
    <n v="0"/>
    <n v="5"/>
    <n v="3"/>
    <n v="2"/>
    <n v="5"/>
    <n v="3"/>
    <x v="1"/>
    <x v="10"/>
  </r>
  <r>
    <x v="12"/>
    <x v="1"/>
    <x v="2"/>
    <n v="976"/>
    <x v="1"/>
    <x v="3"/>
    <n v="2"/>
    <x v="2"/>
    <n v="1"/>
    <n v="1948"/>
    <n v="3"/>
    <x v="1"/>
    <x v="24"/>
    <n v="3"/>
    <n v="1"/>
    <x v="1"/>
    <n v="1"/>
    <x v="2"/>
    <x v="1278"/>
    <n v="3995"/>
    <n v="1"/>
    <s v="Y"/>
    <x v="0"/>
    <n v="13"/>
    <n v="3"/>
    <n v="4"/>
    <n v="80"/>
    <n v="1"/>
    <n v="4"/>
    <n v="3"/>
    <n v="4"/>
    <n v="4"/>
    <n v="2"/>
    <x v="3"/>
    <x v="6"/>
  </r>
  <r>
    <x v="9"/>
    <x v="1"/>
    <x v="2"/>
    <n v="1351"/>
    <x v="1"/>
    <x v="14"/>
    <n v="4"/>
    <x v="0"/>
    <n v="1"/>
    <n v="1949"/>
    <n v="1"/>
    <x v="1"/>
    <x v="45"/>
    <n v="4"/>
    <n v="1"/>
    <x v="2"/>
    <n v="2"/>
    <x v="1"/>
    <x v="1279"/>
    <n v="9238"/>
    <n v="1"/>
    <s v="Y"/>
    <x v="1"/>
    <n v="22"/>
    <n v="4"/>
    <n v="2"/>
    <n v="80"/>
    <n v="0"/>
    <n v="5"/>
    <n v="3"/>
    <n v="3"/>
    <n v="5"/>
    <n v="4"/>
    <x v="0"/>
    <x v="3"/>
  </r>
  <r>
    <x v="13"/>
    <x v="1"/>
    <x v="0"/>
    <n v="937"/>
    <x v="0"/>
    <x v="0"/>
    <n v="3"/>
    <x v="3"/>
    <n v="1"/>
    <n v="1950"/>
    <n v="1"/>
    <x v="1"/>
    <x v="47"/>
    <n v="3"/>
    <n v="3"/>
    <x v="0"/>
    <n v="4"/>
    <x v="0"/>
    <x v="1280"/>
    <n v="6770"/>
    <n v="1"/>
    <s v="Y"/>
    <x v="1"/>
    <n v="21"/>
    <n v="4"/>
    <n v="1"/>
    <n v="80"/>
    <n v="0"/>
    <n v="14"/>
    <n v="3"/>
    <n v="2"/>
    <n v="14"/>
    <n v="8"/>
    <x v="3"/>
    <x v="9"/>
  </r>
  <r>
    <x v="13"/>
    <x v="1"/>
    <x v="0"/>
    <n v="1239"/>
    <x v="0"/>
    <x v="28"/>
    <n v="4"/>
    <x v="2"/>
    <n v="1"/>
    <n v="1951"/>
    <n v="4"/>
    <x v="1"/>
    <x v="56"/>
    <n v="3"/>
    <n v="3"/>
    <x v="0"/>
    <n v="3"/>
    <x v="2"/>
    <x v="1281"/>
    <n v="22914"/>
    <n v="1"/>
    <s v="Y"/>
    <x v="1"/>
    <n v="18"/>
    <n v="3"/>
    <n v="3"/>
    <n v="80"/>
    <n v="1"/>
    <n v="9"/>
    <n v="2"/>
    <n v="2"/>
    <n v="8"/>
    <n v="7"/>
    <x v="1"/>
    <x v="9"/>
  </r>
  <r>
    <x v="25"/>
    <x v="1"/>
    <x v="0"/>
    <n v="157"/>
    <x v="1"/>
    <x v="0"/>
    <n v="3"/>
    <x v="2"/>
    <n v="1"/>
    <n v="1952"/>
    <n v="3"/>
    <x v="1"/>
    <x v="41"/>
    <n v="3"/>
    <n v="1"/>
    <x v="2"/>
    <n v="1"/>
    <x v="0"/>
    <x v="1282"/>
    <n v="20006"/>
    <n v="0"/>
    <s v="Y"/>
    <x v="1"/>
    <n v="13"/>
    <n v="3"/>
    <n v="4"/>
    <n v="80"/>
    <n v="0"/>
    <n v="8"/>
    <n v="6"/>
    <n v="2"/>
    <n v="7"/>
    <n v="7"/>
    <x v="4"/>
    <x v="4"/>
  </r>
  <r>
    <x v="11"/>
    <x v="1"/>
    <x v="0"/>
    <n v="136"/>
    <x v="1"/>
    <x v="0"/>
    <n v="3"/>
    <x v="0"/>
    <n v="1"/>
    <n v="1954"/>
    <n v="1"/>
    <x v="1"/>
    <x v="66"/>
    <n v="3"/>
    <n v="2"/>
    <x v="4"/>
    <n v="1"/>
    <x v="1"/>
    <x v="1283"/>
    <n v="6225"/>
    <n v="0"/>
    <s v="Y"/>
    <x v="1"/>
    <n v="12"/>
    <n v="3"/>
    <n v="1"/>
    <n v="80"/>
    <n v="1"/>
    <n v="6"/>
    <n v="5"/>
    <n v="2"/>
    <n v="5"/>
    <n v="3"/>
    <x v="0"/>
    <x v="3"/>
  </r>
  <r>
    <x v="5"/>
    <x v="1"/>
    <x v="2"/>
    <n v="1146"/>
    <x v="1"/>
    <x v="8"/>
    <n v="4"/>
    <x v="2"/>
    <n v="1"/>
    <n v="1955"/>
    <n v="3"/>
    <x v="0"/>
    <x v="61"/>
    <n v="3"/>
    <n v="2"/>
    <x v="4"/>
    <n v="4"/>
    <x v="2"/>
    <x v="1284"/>
    <n v="16542"/>
    <n v="5"/>
    <s v="Y"/>
    <x v="1"/>
    <n v="18"/>
    <n v="3"/>
    <n v="2"/>
    <n v="80"/>
    <n v="1"/>
    <n v="9"/>
    <n v="6"/>
    <n v="3"/>
    <n v="5"/>
    <n v="1"/>
    <x v="1"/>
    <x v="3"/>
  </r>
  <r>
    <x v="12"/>
    <x v="1"/>
    <x v="1"/>
    <n v="1125"/>
    <x v="1"/>
    <x v="0"/>
    <n v="3"/>
    <x v="0"/>
    <n v="1"/>
    <n v="1956"/>
    <n v="4"/>
    <x v="1"/>
    <x v="24"/>
    <n v="1"/>
    <n v="2"/>
    <x v="1"/>
    <n v="1"/>
    <x v="1"/>
    <x v="701"/>
    <n v="5771"/>
    <n v="1"/>
    <s v="Y"/>
    <x v="1"/>
    <n v="21"/>
    <n v="4"/>
    <n v="2"/>
    <n v="80"/>
    <n v="0"/>
    <n v="10"/>
    <n v="6"/>
    <n v="3"/>
    <n v="10"/>
    <n v="8"/>
    <x v="6"/>
    <x v="1"/>
  </r>
  <r>
    <x v="14"/>
    <x v="0"/>
    <x v="0"/>
    <n v="1404"/>
    <x v="1"/>
    <x v="27"/>
    <n v="3"/>
    <x v="4"/>
    <n v="1"/>
    <n v="1960"/>
    <n v="3"/>
    <x v="1"/>
    <x v="47"/>
    <n v="2"/>
    <n v="1"/>
    <x v="2"/>
    <n v="4"/>
    <x v="2"/>
    <x v="1039"/>
    <n v="18779"/>
    <n v="5"/>
    <s v="Y"/>
    <x v="1"/>
    <n v="12"/>
    <n v="3"/>
    <n v="1"/>
    <n v="80"/>
    <n v="1"/>
    <n v="6"/>
    <n v="2"/>
    <n v="2"/>
    <n v="4"/>
    <n v="1"/>
    <x v="0"/>
    <x v="6"/>
  </r>
  <r>
    <x v="8"/>
    <x v="1"/>
    <x v="0"/>
    <n v="1404"/>
    <x v="0"/>
    <x v="0"/>
    <n v="3"/>
    <x v="0"/>
    <n v="1"/>
    <n v="1961"/>
    <n v="1"/>
    <x v="1"/>
    <x v="40"/>
    <n v="2"/>
    <n v="1"/>
    <x v="6"/>
    <n v="1"/>
    <x v="0"/>
    <x v="1285"/>
    <n v="11473"/>
    <n v="4"/>
    <s v="Y"/>
    <x v="1"/>
    <n v="14"/>
    <n v="3"/>
    <n v="1"/>
    <n v="80"/>
    <n v="0"/>
    <n v="20"/>
    <n v="3"/>
    <n v="2"/>
    <n v="1"/>
    <n v="0"/>
    <x v="0"/>
    <x v="2"/>
  </r>
  <r>
    <x v="10"/>
    <x v="1"/>
    <x v="0"/>
    <n v="1224"/>
    <x v="0"/>
    <x v="15"/>
    <n v="4"/>
    <x v="0"/>
    <n v="1"/>
    <n v="1962"/>
    <n v="3"/>
    <x v="0"/>
    <x v="46"/>
    <n v="3"/>
    <n v="2"/>
    <x v="0"/>
    <n v="4"/>
    <x v="1"/>
    <x v="626"/>
    <n v="13586"/>
    <n v="1"/>
    <s v="Y"/>
    <x v="0"/>
    <n v="11"/>
    <n v="3"/>
    <n v="4"/>
    <n v="80"/>
    <n v="0"/>
    <n v="10"/>
    <n v="2"/>
    <n v="3"/>
    <n v="10"/>
    <n v="8"/>
    <x v="0"/>
    <x v="12"/>
  </r>
  <r>
    <x v="4"/>
    <x v="1"/>
    <x v="0"/>
    <n v="954"/>
    <x v="0"/>
    <x v="14"/>
    <n v="3"/>
    <x v="3"/>
    <n v="1"/>
    <n v="1965"/>
    <n v="4"/>
    <x v="1"/>
    <x v="8"/>
    <n v="3"/>
    <n v="2"/>
    <x v="0"/>
    <n v="4"/>
    <x v="0"/>
    <x v="1286"/>
    <n v="5099"/>
    <n v="1"/>
    <s v="Y"/>
    <x v="1"/>
    <n v="14"/>
    <n v="3"/>
    <n v="1"/>
    <n v="80"/>
    <n v="0"/>
    <n v="7"/>
    <n v="5"/>
    <n v="3"/>
    <n v="7"/>
    <n v="7"/>
    <x v="0"/>
    <x v="1"/>
  </r>
  <r>
    <x v="5"/>
    <x v="1"/>
    <x v="0"/>
    <n v="1373"/>
    <x v="1"/>
    <x v="12"/>
    <n v="4"/>
    <x v="0"/>
    <n v="1"/>
    <n v="1966"/>
    <n v="4"/>
    <x v="1"/>
    <x v="3"/>
    <n v="2"/>
    <n v="2"/>
    <x v="3"/>
    <n v="4"/>
    <x v="0"/>
    <x v="1287"/>
    <n v="10138"/>
    <n v="8"/>
    <s v="Y"/>
    <x v="1"/>
    <n v="24"/>
    <n v="4"/>
    <n v="2"/>
    <n v="80"/>
    <n v="0"/>
    <n v="8"/>
    <n v="1"/>
    <n v="3"/>
    <n v="1"/>
    <n v="0"/>
    <x v="0"/>
    <x v="2"/>
  </r>
  <r>
    <x v="12"/>
    <x v="0"/>
    <x v="1"/>
    <n v="754"/>
    <x v="0"/>
    <x v="9"/>
    <n v="4"/>
    <x v="3"/>
    <n v="1"/>
    <n v="1967"/>
    <n v="1"/>
    <x v="1"/>
    <x v="52"/>
    <n v="3"/>
    <n v="2"/>
    <x v="0"/>
    <n v="4"/>
    <x v="1"/>
    <x v="1288"/>
    <n v="21075"/>
    <n v="1"/>
    <s v="Y"/>
    <x v="0"/>
    <n v="11"/>
    <n v="3"/>
    <n v="3"/>
    <n v="80"/>
    <n v="0"/>
    <n v="10"/>
    <n v="4"/>
    <n v="3"/>
    <n v="10"/>
    <n v="7"/>
    <x v="0"/>
    <x v="5"/>
  </r>
  <r>
    <x v="16"/>
    <x v="0"/>
    <x v="0"/>
    <n v="1168"/>
    <x v="0"/>
    <x v="4"/>
    <n v="4"/>
    <x v="0"/>
    <n v="1"/>
    <n v="1968"/>
    <n v="1"/>
    <x v="1"/>
    <x v="45"/>
    <n v="3"/>
    <n v="3"/>
    <x v="0"/>
    <n v="1"/>
    <x v="0"/>
    <x v="1289"/>
    <n v="5843"/>
    <n v="6"/>
    <s v="Y"/>
    <x v="0"/>
    <n v="13"/>
    <n v="3"/>
    <n v="2"/>
    <n v="80"/>
    <n v="0"/>
    <n v="15"/>
    <n v="2"/>
    <n v="2"/>
    <n v="2"/>
    <n v="2"/>
    <x v="3"/>
    <x v="3"/>
  </r>
  <r>
    <x v="33"/>
    <x v="1"/>
    <x v="0"/>
    <n v="155"/>
    <x v="1"/>
    <x v="14"/>
    <n v="2"/>
    <x v="0"/>
    <n v="1"/>
    <n v="1969"/>
    <n v="1"/>
    <x v="0"/>
    <x v="7"/>
    <n v="3"/>
    <n v="2"/>
    <x v="1"/>
    <n v="3"/>
    <x v="1"/>
    <x v="1290"/>
    <n v="22474"/>
    <n v="3"/>
    <s v="Y"/>
    <x v="1"/>
    <n v="11"/>
    <n v="3"/>
    <n v="3"/>
    <n v="80"/>
    <n v="2"/>
    <n v="9"/>
    <n v="6"/>
    <n v="2"/>
    <n v="4"/>
    <n v="3"/>
    <x v="3"/>
    <x v="6"/>
  </r>
  <r>
    <x v="3"/>
    <x v="1"/>
    <x v="1"/>
    <n v="1303"/>
    <x v="1"/>
    <x v="15"/>
    <n v="2"/>
    <x v="0"/>
    <n v="1"/>
    <n v="1970"/>
    <n v="4"/>
    <x v="1"/>
    <x v="34"/>
    <n v="3"/>
    <n v="2"/>
    <x v="4"/>
    <n v="3"/>
    <x v="2"/>
    <x v="1291"/>
    <n v="18079"/>
    <n v="1"/>
    <s v="Y"/>
    <x v="1"/>
    <n v="20"/>
    <n v="4"/>
    <n v="3"/>
    <n v="80"/>
    <n v="3"/>
    <n v="9"/>
    <n v="2"/>
    <n v="3"/>
    <n v="9"/>
    <n v="7"/>
    <x v="3"/>
    <x v="5"/>
  </r>
  <r>
    <x v="23"/>
    <x v="1"/>
    <x v="0"/>
    <n v="574"/>
    <x v="1"/>
    <x v="13"/>
    <n v="3"/>
    <x v="0"/>
    <n v="1"/>
    <n v="1971"/>
    <n v="1"/>
    <x v="1"/>
    <x v="37"/>
    <n v="3"/>
    <n v="3"/>
    <x v="4"/>
    <n v="3"/>
    <x v="1"/>
    <x v="1292"/>
    <n v="16873"/>
    <n v="1"/>
    <s v="Y"/>
    <x v="1"/>
    <n v="17"/>
    <n v="3"/>
    <n v="2"/>
    <n v="80"/>
    <n v="1"/>
    <n v="10"/>
    <n v="1"/>
    <n v="3"/>
    <n v="10"/>
    <n v="9"/>
    <x v="0"/>
    <x v="12"/>
  </r>
  <r>
    <x v="8"/>
    <x v="1"/>
    <x v="1"/>
    <n v="1444"/>
    <x v="2"/>
    <x v="0"/>
    <n v="4"/>
    <x v="1"/>
    <n v="1"/>
    <n v="1972"/>
    <n v="4"/>
    <x v="1"/>
    <x v="64"/>
    <n v="3"/>
    <n v="1"/>
    <x v="8"/>
    <n v="2"/>
    <x v="1"/>
    <x v="1293"/>
    <n v="5224"/>
    <n v="0"/>
    <s v="Y"/>
    <x v="0"/>
    <n v="11"/>
    <n v="3"/>
    <n v="2"/>
    <n v="80"/>
    <n v="1"/>
    <n v="7"/>
    <n v="2"/>
    <n v="3"/>
    <n v="6"/>
    <n v="2"/>
    <x v="1"/>
    <x v="3"/>
  </r>
  <r>
    <x v="27"/>
    <x v="1"/>
    <x v="0"/>
    <n v="189"/>
    <x v="2"/>
    <x v="9"/>
    <n v="4"/>
    <x v="5"/>
    <n v="1"/>
    <n v="1973"/>
    <n v="3"/>
    <x v="1"/>
    <x v="36"/>
    <n v="4"/>
    <n v="5"/>
    <x v="5"/>
    <n v="2"/>
    <x v="1"/>
    <x v="1294"/>
    <n v="25811"/>
    <n v="4"/>
    <s v="Y"/>
    <x v="0"/>
    <n v="18"/>
    <n v="3"/>
    <n v="1"/>
    <n v="80"/>
    <n v="1"/>
    <n v="35"/>
    <n v="0"/>
    <n v="3"/>
    <n v="10"/>
    <n v="9"/>
    <x v="1"/>
    <x v="10"/>
  </r>
  <r>
    <x v="12"/>
    <x v="1"/>
    <x v="0"/>
    <n v="1276"/>
    <x v="1"/>
    <x v="2"/>
    <n v="1"/>
    <x v="2"/>
    <n v="1"/>
    <n v="1974"/>
    <n v="4"/>
    <x v="0"/>
    <x v="40"/>
    <n v="1"/>
    <n v="1"/>
    <x v="2"/>
    <n v="4"/>
    <x v="2"/>
    <x v="1295"/>
    <n v="17536"/>
    <n v="1"/>
    <s v="Y"/>
    <x v="0"/>
    <n v="11"/>
    <n v="3"/>
    <n v="3"/>
    <n v="80"/>
    <n v="3"/>
    <n v="1"/>
    <n v="4"/>
    <n v="3"/>
    <n v="1"/>
    <n v="0"/>
    <x v="0"/>
    <x v="2"/>
  </r>
  <r>
    <x v="22"/>
    <x v="1"/>
    <x v="0"/>
    <n v="119"/>
    <x v="0"/>
    <x v="8"/>
    <n v="4"/>
    <x v="3"/>
    <n v="1"/>
    <n v="1975"/>
    <n v="2"/>
    <x v="1"/>
    <x v="57"/>
    <n v="3"/>
    <n v="4"/>
    <x v="0"/>
    <n v="1"/>
    <x v="0"/>
    <x v="1296"/>
    <n v="25098"/>
    <n v="0"/>
    <s v="Y"/>
    <x v="1"/>
    <n v="12"/>
    <n v="3"/>
    <n v="1"/>
    <n v="80"/>
    <n v="0"/>
    <n v="21"/>
    <n v="3"/>
    <n v="3"/>
    <n v="20"/>
    <n v="8"/>
    <x v="14"/>
    <x v="13"/>
  </r>
  <r>
    <x v="19"/>
    <x v="1"/>
    <x v="2"/>
    <n v="335"/>
    <x v="1"/>
    <x v="5"/>
    <n v="2"/>
    <x v="0"/>
    <n v="1"/>
    <n v="1976"/>
    <n v="4"/>
    <x v="1"/>
    <x v="31"/>
    <n v="2"/>
    <n v="2"/>
    <x v="1"/>
    <n v="3"/>
    <x v="0"/>
    <x v="1297"/>
    <n v="14811"/>
    <n v="1"/>
    <s v="Y"/>
    <x v="1"/>
    <n v="12"/>
    <n v="3"/>
    <n v="4"/>
    <n v="80"/>
    <n v="0"/>
    <n v="20"/>
    <n v="2"/>
    <n v="3"/>
    <n v="20"/>
    <n v="9"/>
    <x v="2"/>
    <x v="1"/>
  </r>
  <r>
    <x v="12"/>
    <x v="1"/>
    <x v="2"/>
    <n v="697"/>
    <x v="1"/>
    <x v="17"/>
    <n v="3"/>
    <x v="2"/>
    <n v="1"/>
    <n v="1979"/>
    <n v="3"/>
    <x v="0"/>
    <x v="4"/>
    <n v="3"/>
    <n v="3"/>
    <x v="7"/>
    <n v="3"/>
    <x v="1"/>
    <x v="1298"/>
    <n v="26862"/>
    <n v="4"/>
    <s v="Y"/>
    <x v="1"/>
    <n v="20"/>
    <n v="4"/>
    <n v="3"/>
    <n v="80"/>
    <n v="1"/>
    <n v="13"/>
    <n v="2"/>
    <n v="4"/>
    <n v="11"/>
    <n v="7"/>
    <x v="5"/>
    <x v="5"/>
  </r>
  <r>
    <x v="33"/>
    <x v="1"/>
    <x v="0"/>
    <n v="157"/>
    <x v="1"/>
    <x v="17"/>
    <n v="3"/>
    <x v="2"/>
    <n v="1"/>
    <n v="1980"/>
    <n v="3"/>
    <x v="0"/>
    <x v="57"/>
    <n v="3"/>
    <n v="2"/>
    <x v="3"/>
    <n v="1"/>
    <x v="0"/>
    <x v="1299"/>
    <n v="25198"/>
    <n v="6"/>
    <s v="Y"/>
    <x v="0"/>
    <n v="19"/>
    <n v="3"/>
    <n v="4"/>
    <n v="80"/>
    <n v="0"/>
    <n v="9"/>
    <n v="3"/>
    <n v="3"/>
    <n v="5"/>
    <n v="2"/>
    <x v="1"/>
    <x v="10"/>
  </r>
  <r>
    <x v="17"/>
    <x v="1"/>
    <x v="0"/>
    <n v="771"/>
    <x v="1"/>
    <x v="0"/>
    <n v="2"/>
    <x v="0"/>
    <n v="1"/>
    <n v="1981"/>
    <n v="2"/>
    <x v="1"/>
    <x v="18"/>
    <n v="2"/>
    <n v="2"/>
    <x v="4"/>
    <n v="3"/>
    <x v="0"/>
    <x v="1300"/>
    <n v="14120"/>
    <n v="1"/>
    <s v="Y"/>
    <x v="1"/>
    <n v="12"/>
    <n v="3"/>
    <n v="2"/>
    <n v="80"/>
    <n v="0"/>
    <n v="4"/>
    <n v="2"/>
    <n v="2"/>
    <n v="4"/>
    <n v="3"/>
    <x v="1"/>
    <x v="3"/>
  </r>
  <r>
    <x v="30"/>
    <x v="1"/>
    <x v="0"/>
    <n v="571"/>
    <x v="1"/>
    <x v="20"/>
    <n v="2"/>
    <x v="1"/>
    <n v="1"/>
    <n v="1982"/>
    <n v="4"/>
    <x v="1"/>
    <x v="17"/>
    <n v="3"/>
    <n v="1"/>
    <x v="2"/>
    <n v="4"/>
    <x v="0"/>
    <x v="1301"/>
    <n v="13672"/>
    <n v="1"/>
    <s v="Y"/>
    <x v="1"/>
    <n v="13"/>
    <n v="3"/>
    <n v="3"/>
    <n v="80"/>
    <n v="0"/>
    <n v="5"/>
    <n v="6"/>
    <n v="4"/>
    <n v="5"/>
    <n v="2"/>
    <x v="1"/>
    <x v="10"/>
  </r>
  <r>
    <x v="32"/>
    <x v="1"/>
    <x v="1"/>
    <n v="692"/>
    <x v="1"/>
    <x v="13"/>
    <n v="3"/>
    <x v="4"/>
    <n v="1"/>
    <n v="1985"/>
    <n v="4"/>
    <x v="0"/>
    <x v="32"/>
    <n v="3"/>
    <n v="2"/>
    <x v="2"/>
    <n v="3"/>
    <x v="1"/>
    <x v="1302"/>
    <n v="26849"/>
    <n v="1"/>
    <s v="Y"/>
    <x v="1"/>
    <n v="11"/>
    <n v="3"/>
    <n v="1"/>
    <n v="80"/>
    <n v="1"/>
    <n v="10"/>
    <n v="2"/>
    <n v="4"/>
    <n v="10"/>
    <n v="9"/>
    <x v="10"/>
    <x v="10"/>
  </r>
  <r>
    <x v="32"/>
    <x v="1"/>
    <x v="0"/>
    <n v="444"/>
    <x v="0"/>
    <x v="2"/>
    <n v="2"/>
    <x v="3"/>
    <n v="1"/>
    <n v="1986"/>
    <n v="2"/>
    <x v="0"/>
    <x v="2"/>
    <n v="3"/>
    <n v="2"/>
    <x v="0"/>
    <n v="2"/>
    <x v="1"/>
    <x v="1303"/>
    <n v="4258"/>
    <n v="3"/>
    <s v="Y"/>
    <x v="1"/>
    <n v="14"/>
    <n v="3"/>
    <n v="3"/>
    <n v="80"/>
    <n v="1"/>
    <n v="15"/>
    <n v="4"/>
    <n v="3"/>
    <n v="11"/>
    <n v="8"/>
    <x v="8"/>
    <x v="13"/>
  </r>
  <r>
    <x v="36"/>
    <x v="1"/>
    <x v="0"/>
    <n v="309"/>
    <x v="2"/>
    <x v="2"/>
    <n v="3"/>
    <x v="5"/>
    <n v="1"/>
    <n v="1987"/>
    <n v="3"/>
    <x v="0"/>
    <x v="19"/>
    <n v="3"/>
    <n v="1"/>
    <x v="8"/>
    <n v="2"/>
    <x v="1"/>
    <x v="467"/>
    <n v="19655"/>
    <n v="4"/>
    <s v="Y"/>
    <x v="1"/>
    <n v="14"/>
    <n v="3"/>
    <n v="3"/>
    <n v="80"/>
    <n v="0"/>
    <n v="6"/>
    <n v="3"/>
    <n v="3"/>
    <n v="2"/>
    <n v="0"/>
    <x v="1"/>
    <x v="3"/>
  </r>
  <r>
    <x v="7"/>
    <x v="1"/>
    <x v="0"/>
    <n v="911"/>
    <x v="1"/>
    <x v="0"/>
    <n v="2"/>
    <x v="2"/>
    <n v="1"/>
    <n v="1989"/>
    <n v="4"/>
    <x v="1"/>
    <x v="43"/>
    <n v="3"/>
    <n v="1"/>
    <x v="2"/>
    <n v="2"/>
    <x v="1"/>
    <x v="1304"/>
    <n v="4077"/>
    <n v="1"/>
    <s v="Y"/>
    <x v="1"/>
    <n v="13"/>
    <n v="3"/>
    <n v="3"/>
    <n v="80"/>
    <n v="0"/>
    <n v="12"/>
    <n v="6"/>
    <n v="2"/>
    <n v="12"/>
    <n v="8"/>
    <x v="1"/>
    <x v="1"/>
  </r>
  <r>
    <x v="36"/>
    <x v="1"/>
    <x v="0"/>
    <n v="977"/>
    <x v="1"/>
    <x v="2"/>
    <n v="1"/>
    <x v="1"/>
    <n v="1"/>
    <n v="1992"/>
    <n v="4"/>
    <x v="1"/>
    <x v="42"/>
    <n v="3"/>
    <n v="1"/>
    <x v="2"/>
    <n v="3"/>
    <x v="2"/>
    <x v="1305"/>
    <n v="7298"/>
    <n v="6"/>
    <s v="Y"/>
    <x v="0"/>
    <n v="19"/>
    <n v="3"/>
    <n v="3"/>
    <n v="80"/>
    <n v="1"/>
    <n v="7"/>
    <n v="2"/>
    <n v="2"/>
    <n v="2"/>
    <n v="2"/>
    <x v="0"/>
    <x v="3"/>
  </r>
  <r>
    <x v="40"/>
    <x v="1"/>
    <x v="0"/>
    <n v="1180"/>
    <x v="1"/>
    <x v="19"/>
    <n v="3"/>
    <x v="2"/>
    <n v="1"/>
    <n v="1993"/>
    <n v="1"/>
    <x v="1"/>
    <x v="9"/>
    <n v="3"/>
    <n v="3"/>
    <x v="4"/>
    <n v="3"/>
    <x v="0"/>
    <x v="1306"/>
    <n v="13084"/>
    <n v="2"/>
    <s v="Y"/>
    <x v="1"/>
    <n v="23"/>
    <n v="4"/>
    <n v="2"/>
    <n v="80"/>
    <n v="0"/>
    <n v="25"/>
    <n v="3"/>
    <n v="3"/>
    <n v="17"/>
    <n v="14"/>
    <x v="12"/>
    <x v="7"/>
  </r>
  <r>
    <x v="3"/>
    <x v="1"/>
    <x v="2"/>
    <n v="1313"/>
    <x v="1"/>
    <x v="0"/>
    <n v="2"/>
    <x v="2"/>
    <n v="1"/>
    <n v="1994"/>
    <n v="2"/>
    <x v="1"/>
    <x v="40"/>
    <n v="2"/>
    <n v="1"/>
    <x v="2"/>
    <n v="3"/>
    <x v="2"/>
    <x v="641"/>
    <n v="20439"/>
    <n v="1"/>
    <s v="Y"/>
    <x v="1"/>
    <n v="12"/>
    <n v="3"/>
    <n v="3"/>
    <n v="80"/>
    <n v="3"/>
    <n v="1"/>
    <n v="2"/>
    <n v="2"/>
    <n v="1"/>
    <n v="1"/>
    <x v="0"/>
    <x v="2"/>
  </r>
  <r>
    <x v="8"/>
    <x v="1"/>
    <x v="0"/>
    <n v="1321"/>
    <x v="0"/>
    <x v="0"/>
    <n v="4"/>
    <x v="0"/>
    <n v="1"/>
    <n v="1995"/>
    <n v="4"/>
    <x v="1"/>
    <x v="27"/>
    <n v="3"/>
    <n v="2"/>
    <x v="0"/>
    <n v="2"/>
    <x v="1"/>
    <x v="1299"/>
    <n v="7636"/>
    <n v="0"/>
    <s v="Y"/>
    <x v="1"/>
    <n v="15"/>
    <n v="3"/>
    <n v="1"/>
    <n v="80"/>
    <n v="2"/>
    <n v="16"/>
    <n v="3"/>
    <n v="3"/>
    <n v="15"/>
    <n v="13"/>
    <x v="8"/>
    <x v="5"/>
  </r>
  <r>
    <x v="12"/>
    <x v="1"/>
    <x v="0"/>
    <n v="1154"/>
    <x v="0"/>
    <x v="2"/>
    <n v="2"/>
    <x v="0"/>
    <n v="1"/>
    <n v="1996"/>
    <n v="1"/>
    <x v="1"/>
    <x v="60"/>
    <n v="3"/>
    <n v="1"/>
    <x v="6"/>
    <n v="3"/>
    <x v="1"/>
    <x v="1307"/>
    <n v="6393"/>
    <n v="0"/>
    <s v="Y"/>
    <x v="1"/>
    <n v="19"/>
    <n v="3"/>
    <n v="3"/>
    <n v="80"/>
    <n v="1"/>
    <n v="3"/>
    <n v="1"/>
    <n v="3"/>
    <n v="2"/>
    <n v="2"/>
    <x v="1"/>
    <x v="3"/>
  </r>
  <r>
    <x v="8"/>
    <x v="1"/>
    <x v="1"/>
    <n v="508"/>
    <x v="1"/>
    <x v="16"/>
    <n v="4"/>
    <x v="0"/>
    <n v="1"/>
    <n v="1997"/>
    <n v="1"/>
    <x v="1"/>
    <x v="23"/>
    <n v="2"/>
    <n v="2"/>
    <x v="3"/>
    <n v="3"/>
    <x v="1"/>
    <x v="1308"/>
    <n v="14284"/>
    <n v="2"/>
    <s v="Y"/>
    <x v="1"/>
    <n v="11"/>
    <n v="3"/>
    <n v="4"/>
    <n v="80"/>
    <n v="1"/>
    <n v="10"/>
    <n v="1"/>
    <n v="3"/>
    <n v="8"/>
    <n v="3"/>
    <x v="4"/>
    <x v="1"/>
  </r>
  <r>
    <x v="19"/>
    <x v="1"/>
    <x v="0"/>
    <n v="557"/>
    <x v="1"/>
    <x v="21"/>
    <n v="4"/>
    <x v="0"/>
    <n v="1"/>
    <n v="1998"/>
    <n v="4"/>
    <x v="1"/>
    <x v="58"/>
    <n v="3"/>
    <n v="2"/>
    <x v="1"/>
    <n v="1"/>
    <x v="2"/>
    <x v="874"/>
    <n v="11189"/>
    <n v="6"/>
    <s v="Y"/>
    <x v="0"/>
    <n v="17"/>
    <n v="3"/>
    <n v="3"/>
    <n v="80"/>
    <n v="1"/>
    <n v="9"/>
    <n v="3"/>
    <n v="2"/>
    <n v="4"/>
    <n v="3"/>
    <x v="1"/>
    <x v="3"/>
  </r>
  <r>
    <x v="0"/>
    <x v="1"/>
    <x v="0"/>
    <n v="642"/>
    <x v="1"/>
    <x v="0"/>
    <n v="3"/>
    <x v="0"/>
    <n v="1"/>
    <n v="1999"/>
    <n v="4"/>
    <x v="1"/>
    <x v="43"/>
    <n v="3"/>
    <n v="1"/>
    <x v="1"/>
    <n v="4"/>
    <x v="1"/>
    <x v="553"/>
    <n v="21412"/>
    <n v="3"/>
    <s v="Y"/>
    <x v="1"/>
    <n v="22"/>
    <n v="4"/>
    <n v="1"/>
    <n v="80"/>
    <n v="1"/>
    <n v="12"/>
    <n v="3"/>
    <n v="3"/>
    <n v="5"/>
    <n v="3"/>
    <x v="1"/>
    <x v="2"/>
  </r>
  <r>
    <x v="40"/>
    <x v="1"/>
    <x v="2"/>
    <n v="1162"/>
    <x v="1"/>
    <x v="0"/>
    <n v="1"/>
    <x v="2"/>
    <n v="1"/>
    <n v="2000"/>
    <n v="3"/>
    <x v="0"/>
    <x v="33"/>
    <n v="3"/>
    <n v="3"/>
    <x v="7"/>
    <n v="2"/>
    <x v="1"/>
    <x v="1309"/>
    <n v="17231"/>
    <n v="0"/>
    <s v="Y"/>
    <x v="1"/>
    <n v="18"/>
    <n v="3"/>
    <n v="1"/>
    <n v="80"/>
    <n v="2"/>
    <n v="14"/>
    <n v="3"/>
    <n v="1"/>
    <n v="13"/>
    <n v="8"/>
    <x v="8"/>
    <x v="11"/>
  </r>
  <r>
    <x v="10"/>
    <x v="1"/>
    <x v="0"/>
    <n v="1490"/>
    <x v="1"/>
    <x v="13"/>
    <n v="4"/>
    <x v="2"/>
    <n v="1"/>
    <n v="2003"/>
    <n v="4"/>
    <x v="1"/>
    <x v="38"/>
    <n v="3"/>
    <n v="1"/>
    <x v="2"/>
    <n v="3"/>
    <x v="1"/>
    <x v="1310"/>
    <n v="20232"/>
    <n v="7"/>
    <s v="Y"/>
    <x v="0"/>
    <n v="11"/>
    <n v="3"/>
    <n v="3"/>
    <n v="80"/>
    <n v="1"/>
    <n v="5"/>
    <n v="3"/>
    <n v="3"/>
    <n v="2"/>
    <n v="2"/>
    <x v="3"/>
    <x v="3"/>
  </r>
  <r>
    <x v="15"/>
    <x v="1"/>
    <x v="0"/>
    <n v="581"/>
    <x v="1"/>
    <x v="0"/>
    <n v="2"/>
    <x v="0"/>
    <n v="1"/>
    <n v="2007"/>
    <n v="4"/>
    <x v="1"/>
    <x v="52"/>
    <n v="3"/>
    <n v="1"/>
    <x v="1"/>
    <n v="3"/>
    <x v="0"/>
    <x v="1311"/>
    <n v="17624"/>
    <n v="0"/>
    <s v="Y"/>
    <x v="1"/>
    <n v="12"/>
    <n v="3"/>
    <n v="4"/>
    <n v="80"/>
    <n v="0"/>
    <n v="4"/>
    <n v="2"/>
    <n v="4"/>
    <n v="3"/>
    <n v="2"/>
    <x v="1"/>
    <x v="3"/>
  </r>
  <r>
    <x v="10"/>
    <x v="1"/>
    <x v="0"/>
    <n v="1395"/>
    <x v="1"/>
    <x v="14"/>
    <n v="4"/>
    <x v="2"/>
    <n v="1"/>
    <n v="2008"/>
    <n v="2"/>
    <x v="1"/>
    <x v="24"/>
    <n v="3"/>
    <n v="2"/>
    <x v="1"/>
    <n v="3"/>
    <x v="0"/>
    <x v="1312"/>
    <n v="18698"/>
    <n v="1"/>
    <s v="Y"/>
    <x v="1"/>
    <n v="19"/>
    <n v="3"/>
    <n v="2"/>
    <n v="80"/>
    <n v="0"/>
    <n v="10"/>
    <n v="5"/>
    <n v="3"/>
    <n v="10"/>
    <n v="7"/>
    <x v="0"/>
    <x v="5"/>
  </r>
  <r>
    <x v="3"/>
    <x v="1"/>
    <x v="0"/>
    <n v="501"/>
    <x v="1"/>
    <x v="8"/>
    <n v="2"/>
    <x v="2"/>
    <n v="1"/>
    <n v="2009"/>
    <n v="2"/>
    <x v="0"/>
    <x v="41"/>
    <n v="3"/>
    <n v="2"/>
    <x v="4"/>
    <n v="4"/>
    <x v="1"/>
    <x v="1313"/>
    <n v="21653"/>
    <n v="0"/>
    <s v="Y"/>
    <x v="0"/>
    <n v="13"/>
    <n v="3"/>
    <n v="1"/>
    <n v="80"/>
    <n v="1"/>
    <n v="10"/>
    <n v="6"/>
    <n v="3"/>
    <n v="9"/>
    <n v="7"/>
    <x v="6"/>
    <x v="9"/>
  </r>
  <r>
    <x v="5"/>
    <x v="1"/>
    <x v="0"/>
    <n v="267"/>
    <x v="1"/>
    <x v="22"/>
    <n v="4"/>
    <x v="0"/>
    <n v="1"/>
    <n v="2010"/>
    <n v="3"/>
    <x v="0"/>
    <x v="10"/>
    <n v="2"/>
    <n v="1"/>
    <x v="2"/>
    <n v="2"/>
    <x v="0"/>
    <x v="1314"/>
    <n v="15919"/>
    <n v="1"/>
    <s v="Y"/>
    <x v="1"/>
    <n v="13"/>
    <n v="3"/>
    <n v="3"/>
    <n v="80"/>
    <n v="0"/>
    <n v="6"/>
    <n v="3"/>
    <n v="3"/>
    <n v="6"/>
    <n v="2"/>
    <x v="5"/>
    <x v="9"/>
  </r>
  <r>
    <x v="32"/>
    <x v="1"/>
    <x v="0"/>
    <n v="543"/>
    <x v="1"/>
    <x v="0"/>
    <n v="4"/>
    <x v="0"/>
    <n v="1"/>
    <n v="2012"/>
    <n v="1"/>
    <x v="1"/>
    <x v="21"/>
    <n v="3"/>
    <n v="1"/>
    <x v="2"/>
    <n v="4"/>
    <x v="1"/>
    <x v="58"/>
    <n v="4060"/>
    <n v="8"/>
    <s v="Y"/>
    <x v="1"/>
    <n v="19"/>
    <n v="3"/>
    <n v="3"/>
    <n v="80"/>
    <n v="2"/>
    <n v="8"/>
    <n v="3"/>
    <n v="2"/>
    <n v="1"/>
    <n v="0"/>
    <x v="0"/>
    <x v="2"/>
  </r>
  <r>
    <x v="5"/>
    <x v="1"/>
    <x v="0"/>
    <n v="234"/>
    <x v="0"/>
    <x v="0"/>
    <n v="4"/>
    <x v="2"/>
    <n v="1"/>
    <n v="2013"/>
    <n v="2"/>
    <x v="1"/>
    <x v="67"/>
    <n v="2"/>
    <n v="1"/>
    <x v="6"/>
    <n v="2"/>
    <x v="1"/>
    <x v="47"/>
    <n v="18024"/>
    <n v="0"/>
    <s v="Y"/>
    <x v="1"/>
    <n v="14"/>
    <n v="3"/>
    <n v="2"/>
    <n v="80"/>
    <n v="1"/>
    <n v="3"/>
    <n v="2"/>
    <n v="3"/>
    <n v="2"/>
    <n v="2"/>
    <x v="3"/>
    <x v="3"/>
  </r>
  <r>
    <x v="22"/>
    <x v="1"/>
    <x v="0"/>
    <n v="116"/>
    <x v="1"/>
    <x v="4"/>
    <n v="1"/>
    <x v="0"/>
    <n v="1"/>
    <n v="2014"/>
    <n v="1"/>
    <x v="1"/>
    <x v="48"/>
    <n v="3"/>
    <n v="2"/>
    <x v="1"/>
    <n v="4"/>
    <x v="0"/>
    <x v="1315"/>
    <n v="5340"/>
    <n v="7"/>
    <s v="Y"/>
    <x v="1"/>
    <n v="13"/>
    <n v="3"/>
    <n v="1"/>
    <n v="80"/>
    <n v="0"/>
    <n v="18"/>
    <n v="2"/>
    <n v="3"/>
    <n v="7"/>
    <n v="7"/>
    <x v="1"/>
    <x v="1"/>
  </r>
  <r>
    <x v="8"/>
    <x v="1"/>
    <x v="0"/>
    <n v="201"/>
    <x v="1"/>
    <x v="17"/>
    <n v="3"/>
    <x v="2"/>
    <n v="1"/>
    <n v="2015"/>
    <n v="2"/>
    <x v="0"/>
    <x v="39"/>
    <n v="1"/>
    <n v="3"/>
    <x v="7"/>
    <n v="3"/>
    <x v="1"/>
    <x v="1316"/>
    <n v="3376"/>
    <n v="3"/>
    <s v="Y"/>
    <x v="1"/>
    <n v="12"/>
    <n v="3"/>
    <n v="1"/>
    <n v="80"/>
    <n v="1"/>
    <n v="20"/>
    <n v="3"/>
    <n v="3"/>
    <n v="18"/>
    <n v="16"/>
    <x v="1"/>
    <x v="7"/>
  </r>
  <r>
    <x v="5"/>
    <x v="1"/>
    <x v="0"/>
    <n v="801"/>
    <x v="0"/>
    <x v="0"/>
    <n v="4"/>
    <x v="3"/>
    <n v="1"/>
    <n v="2016"/>
    <n v="3"/>
    <x v="0"/>
    <x v="24"/>
    <n v="3"/>
    <n v="3"/>
    <x v="0"/>
    <n v="4"/>
    <x v="1"/>
    <x v="1317"/>
    <n v="24032"/>
    <n v="1"/>
    <s v="Y"/>
    <x v="1"/>
    <n v="19"/>
    <n v="3"/>
    <n v="3"/>
    <n v="80"/>
    <n v="2"/>
    <n v="14"/>
    <n v="3"/>
    <n v="3"/>
    <n v="14"/>
    <n v="10"/>
    <x v="8"/>
    <x v="1"/>
  </r>
  <r>
    <x v="2"/>
    <x v="1"/>
    <x v="0"/>
    <n v="161"/>
    <x v="1"/>
    <x v="17"/>
    <n v="3"/>
    <x v="0"/>
    <n v="1"/>
    <n v="2017"/>
    <n v="3"/>
    <x v="0"/>
    <x v="25"/>
    <n v="4"/>
    <n v="3"/>
    <x v="7"/>
    <n v="4"/>
    <x v="1"/>
    <x v="1318"/>
    <n v="15471"/>
    <n v="1"/>
    <s v="Y"/>
    <x v="0"/>
    <n v="25"/>
    <n v="4"/>
    <n v="1"/>
    <n v="80"/>
    <n v="1"/>
    <n v="16"/>
    <n v="2"/>
    <n v="3"/>
    <n v="16"/>
    <n v="11"/>
    <x v="7"/>
    <x v="5"/>
  </r>
  <r>
    <x v="36"/>
    <x v="1"/>
    <x v="0"/>
    <n v="1382"/>
    <x v="0"/>
    <x v="1"/>
    <n v="2"/>
    <x v="1"/>
    <n v="1"/>
    <n v="2018"/>
    <n v="1"/>
    <x v="0"/>
    <x v="65"/>
    <n v="3"/>
    <n v="2"/>
    <x v="0"/>
    <n v="3"/>
    <x v="2"/>
    <x v="274"/>
    <n v="13684"/>
    <n v="0"/>
    <s v="Y"/>
    <x v="0"/>
    <n v="22"/>
    <n v="4"/>
    <n v="2"/>
    <n v="80"/>
    <n v="1"/>
    <n v="6"/>
    <n v="3"/>
    <n v="2"/>
    <n v="5"/>
    <n v="3"/>
    <x v="0"/>
    <x v="10"/>
  </r>
  <r>
    <x v="39"/>
    <x v="1"/>
    <x v="2"/>
    <n v="585"/>
    <x v="0"/>
    <x v="22"/>
    <n v="4"/>
    <x v="0"/>
    <n v="1"/>
    <n v="2019"/>
    <n v="1"/>
    <x v="1"/>
    <x v="4"/>
    <n v="3"/>
    <n v="1"/>
    <x v="6"/>
    <n v="4"/>
    <x v="2"/>
    <x v="1319"/>
    <n v="19788"/>
    <n v="2"/>
    <s v="Y"/>
    <x v="1"/>
    <n v="15"/>
    <n v="3"/>
    <n v="2"/>
    <n v="80"/>
    <n v="2"/>
    <n v="16"/>
    <n v="3"/>
    <n v="2"/>
    <n v="9"/>
    <n v="8"/>
    <x v="0"/>
    <x v="2"/>
  </r>
  <r>
    <x v="20"/>
    <x v="1"/>
    <x v="0"/>
    <n v="1037"/>
    <x v="1"/>
    <x v="0"/>
    <n v="3"/>
    <x v="2"/>
    <n v="1"/>
    <n v="2020"/>
    <n v="2"/>
    <x v="1"/>
    <x v="25"/>
    <n v="3"/>
    <n v="1"/>
    <x v="1"/>
    <n v="4"/>
    <x v="0"/>
    <x v="230"/>
    <n v="13422"/>
    <n v="6"/>
    <s v="Y"/>
    <x v="0"/>
    <n v="12"/>
    <n v="3"/>
    <n v="3"/>
    <n v="80"/>
    <n v="0"/>
    <n v="6"/>
    <n v="2"/>
    <n v="3"/>
    <n v="4"/>
    <n v="3"/>
    <x v="1"/>
    <x v="3"/>
  </r>
  <r>
    <x v="18"/>
    <x v="1"/>
    <x v="0"/>
    <n v="501"/>
    <x v="0"/>
    <x v="12"/>
    <n v="1"/>
    <x v="2"/>
    <n v="1"/>
    <n v="2021"/>
    <n v="3"/>
    <x v="1"/>
    <x v="22"/>
    <n v="3"/>
    <n v="1"/>
    <x v="6"/>
    <n v="1"/>
    <x v="0"/>
    <x v="631"/>
    <n v="25479"/>
    <n v="1"/>
    <s v="Y"/>
    <x v="0"/>
    <n v="11"/>
    <n v="3"/>
    <n v="4"/>
    <n v="80"/>
    <n v="0"/>
    <n v="2"/>
    <n v="6"/>
    <n v="3"/>
    <n v="2"/>
    <n v="2"/>
    <x v="1"/>
    <x v="3"/>
  </r>
  <r>
    <x v="22"/>
    <x v="1"/>
    <x v="2"/>
    <n v="105"/>
    <x v="1"/>
    <x v="14"/>
    <n v="3"/>
    <x v="0"/>
    <n v="1"/>
    <n v="2022"/>
    <n v="4"/>
    <x v="1"/>
    <x v="44"/>
    <n v="3"/>
    <n v="5"/>
    <x v="5"/>
    <n v="4"/>
    <x v="0"/>
    <x v="1320"/>
    <n v="15302"/>
    <n v="2"/>
    <s v="Y"/>
    <x v="1"/>
    <n v="13"/>
    <n v="3"/>
    <n v="3"/>
    <n v="80"/>
    <n v="0"/>
    <n v="21"/>
    <n v="3"/>
    <n v="2"/>
    <n v="6"/>
    <n v="0"/>
    <x v="1"/>
    <x v="6"/>
  </r>
  <r>
    <x v="30"/>
    <x v="0"/>
    <x v="1"/>
    <n v="638"/>
    <x v="0"/>
    <x v="14"/>
    <n v="3"/>
    <x v="3"/>
    <n v="1"/>
    <n v="2023"/>
    <n v="4"/>
    <x v="1"/>
    <x v="30"/>
    <n v="3"/>
    <n v="1"/>
    <x v="6"/>
    <n v="1"/>
    <x v="1"/>
    <x v="1321"/>
    <n v="26956"/>
    <n v="1"/>
    <s v="Y"/>
    <x v="1"/>
    <n v="19"/>
    <n v="3"/>
    <n v="1"/>
    <n v="80"/>
    <n v="1"/>
    <n v="1"/>
    <n v="3"/>
    <n v="2"/>
    <n v="1"/>
    <n v="0"/>
    <x v="1"/>
    <x v="2"/>
  </r>
  <r>
    <x v="9"/>
    <x v="1"/>
    <x v="0"/>
    <n v="557"/>
    <x v="0"/>
    <x v="3"/>
    <n v="3"/>
    <x v="2"/>
    <n v="1"/>
    <n v="2024"/>
    <n v="1"/>
    <x v="0"/>
    <x v="0"/>
    <n v="2"/>
    <n v="3"/>
    <x v="0"/>
    <n v="4"/>
    <x v="1"/>
    <x v="1322"/>
    <n v="12695"/>
    <n v="0"/>
    <s v="Y"/>
    <x v="1"/>
    <n v="19"/>
    <n v="3"/>
    <n v="3"/>
    <n v="80"/>
    <n v="2"/>
    <n v="10"/>
    <n v="2"/>
    <n v="3"/>
    <n v="9"/>
    <n v="7"/>
    <x v="2"/>
    <x v="10"/>
  </r>
  <r>
    <x v="9"/>
    <x v="1"/>
    <x v="1"/>
    <n v="688"/>
    <x v="1"/>
    <x v="18"/>
    <n v="2"/>
    <x v="0"/>
    <n v="1"/>
    <n v="2025"/>
    <n v="4"/>
    <x v="0"/>
    <x v="28"/>
    <n v="3"/>
    <n v="2"/>
    <x v="3"/>
    <n v="2"/>
    <x v="2"/>
    <x v="1323"/>
    <n v="9192"/>
    <n v="7"/>
    <s v="Y"/>
    <x v="1"/>
    <n v="13"/>
    <n v="3"/>
    <n v="2"/>
    <n v="80"/>
    <n v="3"/>
    <n v="18"/>
    <n v="3"/>
    <n v="3"/>
    <n v="4"/>
    <n v="2"/>
    <x v="0"/>
    <x v="3"/>
  </r>
  <r>
    <x v="29"/>
    <x v="1"/>
    <x v="2"/>
    <n v="667"/>
    <x v="1"/>
    <x v="0"/>
    <n v="4"/>
    <x v="0"/>
    <n v="1"/>
    <n v="2026"/>
    <n v="3"/>
    <x v="1"/>
    <x v="42"/>
    <n v="3"/>
    <n v="2"/>
    <x v="4"/>
    <n v="3"/>
    <x v="2"/>
    <x v="1324"/>
    <n v="26236"/>
    <n v="1"/>
    <s v="Y"/>
    <x v="1"/>
    <n v="21"/>
    <n v="4"/>
    <n v="1"/>
    <n v="80"/>
    <n v="1"/>
    <n v="13"/>
    <n v="2"/>
    <n v="2"/>
    <n v="13"/>
    <n v="12"/>
    <x v="1"/>
    <x v="12"/>
  </r>
  <r>
    <x v="11"/>
    <x v="0"/>
    <x v="0"/>
    <n v="1092"/>
    <x v="1"/>
    <x v="0"/>
    <n v="4"/>
    <x v="2"/>
    <n v="1"/>
    <n v="2027"/>
    <n v="1"/>
    <x v="1"/>
    <x v="34"/>
    <n v="3"/>
    <n v="1"/>
    <x v="1"/>
    <n v="4"/>
    <x v="1"/>
    <x v="1325"/>
    <n v="26124"/>
    <n v="9"/>
    <s v="Y"/>
    <x v="0"/>
    <n v="14"/>
    <n v="3"/>
    <n v="2"/>
    <n v="80"/>
    <n v="3"/>
    <n v="4"/>
    <n v="3"/>
    <n v="4"/>
    <n v="2"/>
    <n v="2"/>
    <x v="3"/>
    <x v="3"/>
  </r>
  <r>
    <x v="19"/>
    <x v="1"/>
    <x v="0"/>
    <n v="300"/>
    <x v="1"/>
    <x v="2"/>
    <n v="3"/>
    <x v="0"/>
    <n v="1"/>
    <n v="2031"/>
    <n v="1"/>
    <x v="1"/>
    <x v="3"/>
    <n v="3"/>
    <n v="5"/>
    <x v="5"/>
    <n v="3"/>
    <x v="1"/>
    <x v="1326"/>
    <n v="17312"/>
    <n v="5"/>
    <s v="Y"/>
    <x v="1"/>
    <n v="11"/>
    <n v="3"/>
    <n v="1"/>
    <n v="80"/>
    <n v="0"/>
    <n v="24"/>
    <n v="2"/>
    <n v="2"/>
    <n v="22"/>
    <n v="6"/>
    <x v="5"/>
    <x v="17"/>
  </r>
  <r>
    <x v="29"/>
    <x v="0"/>
    <x v="0"/>
    <n v="310"/>
    <x v="1"/>
    <x v="15"/>
    <n v="2"/>
    <x v="4"/>
    <n v="1"/>
    <n v="2032"/>
    <n v="4"/>
    <x v="1"/>
    <x v="23"/>
    <n v="3"/>
    <n v="1"/>
    <x v="2"/>
    <n v="3"/>
    <x v="1"/>
    <x v="1327"/>
    <n v="3666"/>
    <n v="8"/>
    <s v="Y"/>
    <x v="1"/>
    <n v="11"/>
    <n v="3"/>
    <n v="4"/>
    <n v="80"/>
    <n v="1"/>
    <n v="14"/>
    <n v="4"/>
    <n v="1"/>
    <n v="10"/>
    <n v="9"/>
    <x v="10"/>
    <x v="5"/>
  </r>
  <r>
    <x v="0"/>
    <x v="1"/>
    <x v="0"/>
    <n v="582"/>
    <x v="1"/>
    <x v="26"/>
    <n v="4"/>
    <x v="0"/>
    <n v="1"/>
    <n v="2034"/>
    <n v="1"/>
    <x v="0"/>
    <x v="53"/>
    <n v="2"/>
    <n v="4"/>
    <x v="3"/>
    <n v="2"/>
    <x v="1"/>
    <x v="1328"/>
    <n v="5640"/>
    <n v="0"/>
    <s v="Y"/>
    <x v="1"/>
    <n v="23"/>
    <n v="4"/>
    <n v="3"/>
    <n v="80"/>
    <n v="1"/>
    <n v="21"/>
    <n v="3"/>
    <n v="3"/>
    <n v="20"/>
    <n v="7"/>
    <x v="0"/>
    <x v="13"/>
  </r>
  <r>
    <x v="13"/>
    <x v="1"/>
    <x v="0"/>
    <n v="704"/>
    <x v="0"/>
    <x v="26"/>
    <n v="3"/>
    <x v="3"/>
    <n v="1"/>
    <n v="2035"/>
    <n v="4"/>
    <x v="0"/>
    <x v="41"/>
    <n v="2"/>
    <n v="2"/>
    <x v="0"/>
    <n v="3"/>
    <x v="1"/>
    <x v="1329"/>
    <n v="8978"/>
    <n v="1"/>
    <s v="Y"/>
    <x v="1"/>
    <n v="21"/>
    <n v="4"/>
    <n v="4"/>
    <n v="80"/>
    <n v="2"/>
    <n v="8"/>
    <n v="2"/>
    <n v="3"/>
    <n v="8"/>
    <n v="7"/>
    <x v="1"/>
    <x v="1"/>
  </r>
  <r>
    <x v="9"/>
    <x v="1"/>
    <x v="2"/>
    <n v="301"/>
    <x v="0"/>
    <x v="8"/>
    <n v="4"/>
    <x v="3"/>
    <n v="1"/>
    <n v="2036"/>
    <n v="4"/>
    <x v="1"/>
    <x v="64"/>
    <n v="1"/>
    <n v="2"/>
    <x v="0"/>
    <n v="4"/>
    <x v="2"/>
    <x v="1330"/>
    <n v="10436"/>
    <n v="1"/>
    <s v="Y"/>
    <x v="1"/>
    <n v="24"/>
    <n v="4"/>
    <n v="1"/>
    <n v="80"/>
    <n v="1"/>
    <n v="15"/>
    <n v="4"/>
    <n v="2"/>
    <n v="15"/>
    <n v="12"/>
    <x v="14"/>
    <x v="7"/>
  </r>
  <r>
    <x v="0"/>
    <x v="1"/>
    <x v="0"/>
    <n v="930"/>
    <x v="0"/>
    <x v="3"/>
    <n v="3"/>
    <x v="0"/>
    <n v="1"/>
    <n v="2037"/>
    <n v="3"/>
    <x v="1"/>
    <x v="42"/>
    <n v="2"/>
    <n v="2"/>
    <x v="0"/>
    <n v="2"/>
    <x v="2"/>
    <x v="1331"/>
    <n v="12227"/>
    <n v="2"/>
    <s v="Y"/>
    <x v="1"/>
    <n v="11"/>
    <n v="3"/>
    <n v="3"/>
    <n v="80"/>
    <n v="1"/>
    <n v="14"/>
    <n v="5"/>
    <n v="3"/>
    <n v="5"/>
    <n v="4"/>
    <x v="0"/>
    <x v="10"/>
  </r>
  <r>
    <x v="5"/>
    <x v="1"/>
    <x v="0"/>
    <n v="529"/>
    <x v="1"/>
    <x v="2"/>
    <n v="3"/>
    <x v="4"/>
    <n v="1"/>
    <n v="2038"/>
    <n v="4"/>
    <x v="1"/>
    <x v="17"/>
    <n v="3"/>
    <n v="1"/>
    <x v="1"/>
    <n v="1"/>
    <x v="0"/>
    <x v="1234"/>
    <n v="11288"/>
    <n v="1"/>
    <s v="Y"/>
    <x v="1"/>
    <n v="14"/>
    <n v="3"/>
    <n v="4"/>
    <n v="80"/>
    <n v="0"/>
    <n v="4"/>
    <n v="4"/>
    <n v="3"/>
    <n v="4"/>
    <n v="2"/>
    <x v="1"/>
    <x v="3"/>
  </r>
  <r>
    <x v="10"/>
    <x v="1"/>
    <x v="0"/>
    <n v="1146"/>
    <x v="2"/>
    <x v="9"/>
    <n v="4"/>
    <x v="0"/>
    <n v="1"/>
    <n v="2040"/>
    <n v="3"/>
    <x v="0"/>
    <x v="11"/>
    <n v="3"/>
    <n v="3"/>
    <x v="8"/>
    <n v="4"/>
    <x v="0"/>
    <x v="1332"/>
    <n v="16642"/>
    <n v="1"/>
    <s v="Y"/>
    <x v="0"/>
    <n v="16"/>
    <n v="3"/>
    <n v="3"/>
    <n v="80"/>
    <n v="0"/>
    <n v="9"/>
    <n v="2"/>
    <n v="3"/>
    <n v="9"/>
    <n v="0"/>
    <x v="1"/>
    <x v="1"/>
  </r>
  <r>
    <x v="8"/>
    <x v="1"/>
    <x v="0"/>
    <n v="345"/>
    <x v="0"/>
    <x v="17"/>
    <n v="2"/>
    <x v="0"/>
    <n v="1"/>
    <n v="2041"/>
    <n v="1"/>
    <x v="0"/>
    <x v="54"/>
    <n v="3"/>
    <n v="2"/>
    <x v="0"/>
    <n v="4"/>
    <x v="1"/>
    <x v="798"/>
    <n v="5982"/>
    <n v="1"/>
    <s v="Y"/>
    <x v="1"/>
    <n v="11"/>
    <n v="3"/>
    <n v="3"/>
    <n v="80"/>
    <n v="1"/>
    <n v="10"/>
    <n v="1"/>
    <n v="3"/>
    <n v="10"/>
    <n v="7"/>
    <x v="1"/>
    <x v="12"/>
  </r>
  <r>
    <x v="24"/>
    <x v="0"/>
    <x v="1"/>
    <n v="878"/>
    <x v="0"/>
    <x v="0"/>
    <n v="4"/>
    <x v="0"/>
    <n v="1"/>
    <n v="2044"/>
    <n v="2"/>
    <x v="1"/>
    <x v="0"/>
    <n v="3"/>
    <n v="2"/>
    <x v="0"/>
    <n v="3"/>
    <x v="2"/>
    <x v="1333"/>
    <n v="14255"/>
    <n v="7"/>
    <s v="Y"/>
    <x v="1"/>
    <n v="12"/>
    <n v="3"/>
    <n v="4"/>
    <n v="80"/>
    <n v="2"/>
    <n v="12"/>
    <n v="3"/>
    <n v="3"/>
    <n v="6"/>
    <n v="3"/>
    <x v="0"/>
    <x v="9"/>
  </r>
  <r>
    <x v="9"/>
    <x v="1"/>
    <x v="0"/>
    <n v="1120"/>
    <x v="0"/>
    <x v="13"/>
    <n v="4"/>
    <x v="3"/>
    <n v="1"/>
    <n v="2045"/>
    <n v="2"/>
    <x v="0"/>
    <x v="54"/>
    <n v="2"/>
    <n v="2"/>
    <x v="0"/>
    <n v="4"/>
    <x v="1"/>
    <x v="1334"/>
    <n v="14369"/>
    <n v="4"/>
    <s v="Y"/>
    <x v="1"/>
    <n v="13"/>
    <n v="3"/>
    <n v="1"/>
    <n v="80"/>
    <n v="1"/>
    <n v="8"/>
    <n v="2"/>
    <n v="2"/>
    <n v="6"/>
    <n v="3"/>
    <x v="0"/>
    <x v="2"/>
  </r>
  <r>
    <x v="28"/>
    <x v="1"/>
    <x v="0"/>
    <n v="374"/>
    <x v="0"/>
    <x v="25"/>
    <n v="3"/>
    <x v="0"/>
    <n v="1"/>
    <n v="2046"/>
    <n v="4"/>
    <x v="0"/>
    <x v="13"/>
    <n v="3"/>
    <n v="2"/>
    <x v="0"/>
    <n v="3"/>
    <x v="0"/>
    <x v="1335"/>
    <n v="23333"/>
    <n v="8"/>
    <s v="Y"/>
    <x v="1"/>
    <n v="15"/>
    <n v="3"/>
    <n v="3"/>
    <n v="80"/>
    <n v="0"/>
    <n v="8"/>
    <n v="3"/>
    <n v="3"/>
    <n v="5"/>
    <n v="3"/>
    <x v="0"/>
    <x v="9"/>
  </r>
  <r>
    <x v="32"/>
    <x v="1"/>
    <x v="0"/>
    <n v="1322"/>
    <x v="1"/>
    <x v="2"/>
    <n v="4"/>
    <x v="0"/>
    <n v="1"/>
    <n v="2048"/>
    <n v="3"/>
    <x v="1"/>
    <x v="48"/>
    <n v="2"/>
    <n v="1"/>
    <x v="1"/>
    <n v="3"/>
    <x v="0"/>
    <x v="1336"/>
    <n v="2725"/>
    <n v="2"/>
    <s v="Y"/>
    <x v="1"/>
    <n v="14"/>
    <n v="3"/>
    <n v="4"/>
    <n v="80"/>
    <n v="0"/>
    <n v="8"/>
    <n v="2"/>
    <n v="3"/>
    <n v="2"/>
    <n v="2"/>
    <x v="3"/>
    <x v="3"/>
  </r>
  <r>
    <x v="10"/>
    <x v="1"/>
    <x v="1"/>
    <n v="1199"/>
    <x v="1"/>
    <x v="21"/>
    <n v="4"/>
    <x v="0"/>
    <n v="1"/>
    <n v="2049"/>
    <n v="3"/>
    <x v="1"/>
    <x v="15"/>
    <n v="3"/>
    <n v="2"/>
    <x v="4"/>
    <n v="3"/>
    <x v="1"/>
    <x v="1337"/>
    <n v="24594"/>
    <n v="1"/>
    <s v="Y"/>
    <x v="0"/>
    <n v="14"/>
    <n v="3"/>
    <n v="4"/>
    <n v="80"/>
    <n v="2"/>
    <n v="10"/>
    <n v="2"/>
    <n v="4"/>
    <n v="10"/>
    <n v="2"/>
    <x v="0"/>
    <x v="3"/>
  </r>
  <r>
    <x v="32"/>
    <x v="1"/>
    <x v="0"/>
    <n v="1194"/>
    <x v="1"/>
    <x v="2"/>
    <n v="4"/>
    <x v="2"/>
    <n v="1"/>
    <n v="2051"/>
    <n v="3"/>
    <x v="0"/>
    <x v="33"/>
    <n v="3"/>
    <n v="1"/>
    <x v="1"/>
    <n v="3"/>
    <x v="1"/>
    <x v="1338"/>
    <n v="12549"/>
    <n v="2"/>
    <s v="Y"/>
    <x v="1"/>
    <n v="14"/>
    <n v="3"/>
    <n v="2"/>
    <n v="80"/>
    <n v="3"/>
    <n v="20"/>
    <n v="2"/>
    <n v="3"/>
    <n v="5"/>
    <n v="3"/>
    <x v="0"/>
    <x v="3"/>
  </r>
  <r>
    <x v="10"/>
    <x v="1"/>
    <x v="0"/>
    <n v="287"/>
    <x v="1"/>
    <x v="0"/>
    <n v="4"/>
    <x v="0"/>
    <n v="1"/>
    <n v="2052"/>
    <n v="3"/>
    <x v="0"/>
    <x v="50"/>
    <n v="1"/>
    <n v="1"/>
    <x v="1"/>
    <n v="4"/>
    <x v="1"/>
    <x v="1339"/>
    <n v="8952"/>
    <n v="1"/>
    <s v="Y"/>
    <x v="1"/>
    <n v="12"/>
    <n v="3"/>
    <n v="4"/>
    <n v="80"/>
    <n v="1"/>
    <n v="4"/>
    <n v="5"/>
    <n v="3"/>
    <n v="4"/>
    <n v="3"/>
    <x v="1"/>
    <x v="9"/>
  </r>
  <r>
    <x v="11"/>
    <x v="1"/>
    <x v="0"/>
    <n v="1378"/>
    <x v="1"/>
    <x v="28"/>
    <n v="2"/>
    <x v="1"/>
    <n v="1"/>
    <n v="2053"/>
    <n v="4"/>
    <x v="1"/>
    <x v="55"/>
    <n v="2"/>
    <n v="2"/>
    <x v="2"/>
    <n v="2"/>
    <x v="1"/>
    <x v="717"/>
    <n v="23679"/>
    <n v="4"/>
    <s v="Y"/>
    <x v="0"/>
    <n v="13"/>
    <n v="3"/>
    <n v="1"/>
    <n v="80"/>
    <n v="1"/>
    <n v="10"/>
    <n v="2"/>
    <n v="3"/>
    <n v="4"/>
    <n v="3"/>
    <x v="0"/>
    <x v="6"/>
  </r>
  <r>
    <x v="11"/>
    <x v="1"/>
    <x v="0"/>
    <n v="468"/>
    <x v="1"/>
    <x v="26"/>
    <n v="4"/>
    <x v="2"/>
    <n v="1"/>
    <n v="2054"/>
    <n v="4"/>
    <x v="0"/>
    <x v="32"/>
    <n v="2"/>
    <n v="1"/>
    <x v="1"/>
    <n v="1"/>
    <x v="0"/>
    <x v="1340"/>
    <n v="8489"/>
    <n v="1"/>
    <s v="Y"/>
    <x v="1"/>
    <n v="14"/>
    <n v="3"/>
    <n v="2"/>
    <n v="80"/>
    <n v="0"/>
    <n v="5"/>
    <n v="3"/>
    <n v="1"/>
    <n v="5"/>
    <n v="4"/>
    <x v="0"/>
    <x v="10"/>
  </r>
  <r>
    <x v="24"/>
    <x v="0"/>
    <x v="0"/>
    <n v="410"/>
    <x v="0"/>
    <x v="26"/>
    <n v="3"/>
    <x v="3"/>
    <n v="1"/>
    <n v="2055"/>
    <n v="4"/>
    <x v="1"/>
    <x v="56"/>
    <n v="2"/>
    <n v="3"/>
    <x v="0"/>
    <n v="1"/>
    <x v="2"/>
    <x v="1341"/>
    <n v="16586"/>
    <n v="4"/>
    <s v="Y"/>
    <x v="0"/>
    <n v="13"/>
    <n v="3"/>
    <n v="2"/>
    <n v="80"/>
    <n v="1"/>
    <n v="20"/>
    <n v="3"/>
    <n v="3"/>
    <n v="3"/>
    <n v="2"/>
    <x v="3"/>
    <x v="2"/>
  </r>
  <r>
    <x v="22"/>
    <x v="1"/>
    <x v="0"/>
    <n v="722"/>
    <x v="0"/>
    <x v="4"/>
    <n v="1"/>
    <x v="3"/>
    <n v="1"/>
    <n v="2056"/>
    <n v="2"/>
    <x v="0"/>
    <x v="53"/>
    <n v="2"/>
    <n v="4"/>
    <x v="0"/>
    <n v="4"/>
    <x v="1"/>
    <x v="1342"/>
    <n v="8828"/>
    <n v="0"/>
    <s v="Y"/>
    <x v="1"/>
    <n v="11"/>
    <n v="3"/>
    <n v="1"/>
    <n v="80"/>
    <n v="1"/>
    <n v="21"/>
    <n v="2"/>
    <n v="2"/>
    <n v="20"/>
    <n v="9"/>
    <x v="10"/>
    <x v="4"/>
  </r>
  <r>
    <x v="12"/>
    <x v="1"/>
    <x v="2"/>
    <n v="325"/>
    <x v="1"/>
    <x v="12"/>
    <n v="3"/>
    <x v="2"/>
    <n v="1"/>
    <n v="2057"/>
    <n v="2"/>
    <x v="1"/>
    <x v="69"/>
    <n v="3"/>
    <n v="2"/>
    <x v="3"/>
    <n v="1"/>
    <x v="0"/>
    <x v="1343"/>
    <n v="3787"/>
    <n v="0"/>
    <s v="Y"/>
    <x v="1"/>
    <n v="19"/>
    <n v="3"/>
    <n v="2"/>
    <n v="80"/>
    <n v="0"/>
    <n v="10"/>
    <n v="2"/>
    <n v="3"/>
    <n v="9"/>
    <n v="4"/>
    <x v="1"/>
    <x v="1"/>
  </r>
  <r>
    <x v="25"/>
    <x v="1"/>
    <x v="0"/>
    <n v="1167"/>
    <x v="0"/>
    <x v="12"/>
    <n v="3"/>
    <x v="1"/>
    <n v="1"/>
    <n v="2060"/>
    <n v="4"/>
    <x v="0"/>
    <x v="37"/>
    <n v="2"/>
    <n v="1"/>
    <x v="6"/>
    <n v="3"/>
    <x v="0"/>
    <x v="1344"/>
    <n v="21378"/>
    <n v="0"/>
    <s v="Y"/>
    <x v="1"/>
    <n v="18"/>
    <n v="3"/>
    <n v="4"/>
    <n v="80"/>
    <n v="0"/>
    <n v="5"/>
    <n v="2"/>
    <n v="3"/>
    <n v="4"/>
    <n v="2"/>
    <x v="0"/>
    <x v="2"/>
  </r>
  <r>
    <x v="9"/>
    <x v="1"/>
    <x v="1"/>
    <n v="884"/>
    <x v="1"/>
    <x v="5"/>
    <n v="2"/>
    <x v="2"/>
    <n v="1"/>
    <n v="2061"/>
    <n v="3"/>
    <x v="1"/>
    <x v="26"/>
    <n v="4"/>
    <n v="2"/>
    <x v="2"/>
    <n v="4"/>
    <x v="1"/>
    <x v="1345"/>
    <n v="12290"/>
    <n v="4"/>
    <s v="Y"/>
    <x v="1"/>
    <n v="17"/>
    <n v="3"/>
    <n v="3"/>
    <n v="80"/>
    <n v="1"/>
    <n v="17"/>
    <n v="3"/>
    <n v="3"/>
    <n v="5"/>
    <n v="2"/>
    <x v="0"/>
    <x v="6"/>
  </r>
  <r>
    <x v="22"/>
    <x v="1"/>
    <x v="0"/>
    <n v="613"/>
    <x v="1"/>
    <x v="16"/>
    <n v="1"/>
    <x v="2"/>
    <n v="1"/>
    <n v="2062"/>
    <n v="4"/>
    <x v="1"/>
    <x v="25"/>
    <n v="2"/>
    <n v="3"/>
    <x v="4"/>
    <n v="1"/>
    <x v="1"/>
    <x v="1346"/>
    <n v="21457"/>
    <n v="4"/>
    <s v="Y"/>
    <x v="1"/>
    <n v="15"/>
    <n v="3"/>
    <n v="1"/>
    <n v="80"/>
    <n v="1"/>
    <n v="9"/>
    <n v="5"/>
    <n v="3"/>
    <n v="7"/>
    <n v="7"/>
    <x v="1"/>
    <x v="1"/>
  </r>
  <r>
    <x v="4"/>
    <x v="1"/>
    <x v="0"/>
    <n v="155"/>
    <x v="1"/>
    <x v="18"/>
    <n v="3"/>
    <x v="0"/>
    <n v="1"/>
    <n v="2064"/>
    <n v="2"/>
    <x v="1"/>
    <x v="44"/>
    <n v="4"/>
    <n v="2"/>
    <x v="3"/>
    <n v="2"/>
    <x v="1"/>
    <x v="528"/>
    <n v="5174"/>
    <n v="1"/>
    <s v="Y"/>
    <x v="0"/>
    <n v="20"/>
    <n v="4"/>
    <n v="2"/>
    <n v="80"/>
    <n v="1"/>
    <n v="6"/>
    <n v="0"/>
    <n v="3"/>
    <n v="6"/>
    <n v="2"/>
    <x v="0"/>
    <x v="6"/>
  </r>
  <r>
    <x v="1"/>
    <x v="1"/>
    <x v="1"/>
    <n v="1023"/>
    <x v="0"/>
    <x v="2"/>
    <n v="3"/>
    <x v="2"/>
    <n v="1"/>
    <n v="2065"/>
    <n v="4"/>
    <x v="1"/>
    <x v="52"/>
    <n v="2"/>
    <n v="2"/>
    <x v="0"/>
    <n v="2"/>
    <x v="1"/>
    <x v="1347"/>
    <n v="13243"/>
    <n v="2"/>
    <s v="Y"/>
    <x v="1"/>
    <n v="14"/>
    <n v="3"/>
    <n v="4"/>
    <n v="80"/>
    <n v="0"/>
    <n v="17"/>
    <n v="3"/>
    <n v="2"/>
    <n v="9"/>
    <n v="6"/>
    <x v="0"/>
    <x v="5"/>
  </r>
  <r>
    <x v="13"/>
    <x v="1"/>
    <x v="0"/>
    <n v="628"/>
    <x v="1"/>
    <x v="1"/>
    <n v="3"/>
    <x v="2"/>
    <n v="1"/>
    <n v="2068"/>
    <n v="2"/>
    <x v="1"/>
    <x v="19"/>
    <n v="4"/>
    <n v="2"/>
    <x v="2"/>
    <n v="3"/>
    <x v="1"/>
    <x v="1348"/>
    <n v="10228"/>
    <n v="2"/>
    <s v="Y"/>
    <x v="1"/>
    <n v="12"/>
    <n v="3"/>
    <n v="1"/>
    <n v="80"/>
    <n v="0"/>
    <n v="6"/>
    <n v="3"/>
    <n v="4"/>
    <n v="4"/>
    <n v="3"/>
    <x v="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3FE144-A0E9-4369-A256-36D27FE4EB38}" name="PivotTable27"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colHeaderCaption="attrition">
  <location ref="N45:P52" firstHeaderRow="1" firstDataRow="2" firstDataCol="1"/>
  <pivotFields count="35">
    <pivotField showAll="0">
      <items count="8">
        <item x="0"/>
        <item x="1"/>
        <item x="2"/>
        <item x="3"/>
        <item x="4"/>
        <item x="5"/>
        <item x="6"/>
        <item t="default"/>
      </items>
    </pivotField>
    <pivotField axis="axisCol" dataField="1" showAll="0">
      <items count="3">
        <item x="1"/>
        <item x="0"/>
        <item t="default"/>
      </items>
    </pivotField>
    <pivotField showAll="0">
      <items count="4">
        <item x="2"/>
        <item x="1"/>
        <item x="0"/>
        <item t="default"/>
      </items>
    </pivotField>
    <pivotField showAll="0"/>
    <pivotField showAll="0">
      <items count="4">
        <item x="2"/>
        <item x="1"/>
        <item x="0"/>
        <item t="default"/>
      </items>
    </pivotField>
    <pivotField axis="axisRow" showAll="0">
      <items count="9">
        <item x="0"/>
        <item x="1"/>
        <item x="2"/>
        <item x="3"/>
        <item x="4"/>
        <item x="5"/>
        <item x="6"/>
        <item x="7"/>
        <item t="default"/>
      </items>
    </pivotField>
    <pivotField showAll="0"/>
    <pivotField showAll="0">
      <items count="7">
        <item x="5"/>
        <item x="0"/>
        <item x="3"/>
        <item x="2"/>
        <item x="1"/>
        <item x="4"/>
        <item t="default"/>
      </items>
    </pivotField>
    <pivotField showAll="0"/>
    <pivotField showAll="0"/>
    <pivotField showAll="0"/>
    <pivotField showAll="0">
      <items count="3">
        <item x="0"/>
        <item x="1"/>
        <item t="default"/>
      </items>
    </pivotField>
    <pivotField showAll="0">
      <items count="7">
        <item x="0"/>
        <item x="1"/>
        <item x="2"/>
        <item x="3"/>
        <item x="4"/>
        <item x="5"/>
        <item t="default"/>
      </items>
    </pivotField>
    <pivotField showAll="0"/>
    <pivotField showAll="0"/>
    <pivotField showAll="0">
      <items count="10">
        <item x="4"/>
        <item x="8"/>
        <item x="2"/>
        <item x="5"/>
        <item x="3"/>
        <item x="7"/>
        <item x="1"/>
        <item x="0"/>
        <item x="6"/>
        <item t="default"/>
      </items>
    </pivotField>
    <pivotField showAll="0"/>
    <pivotField showAll="0"/>
    <pivotField showAll="0">
      <items count="10">
        <item x="0"/>
        <item x="1"/>
        <item x="2"/>
        <item x="3"/>
        <item x="4"/>
        <item x="5"/>
        <item x="6"/>
        <item x="7"/>
        <item x="8"/>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items count="8">
        <item x="0"/>
        <item x="1"/>
        <item x="2"/>
        <item x="3"/>
        <item x="4"/>
        <item x="5"/>
        <item x="6"/>
        <item t="default"/>
      </items>
    </pivotField>
    <pivotField showAll="0">
      <items count="9">
        <item x="0"/>
        <item x="1"/>
        <item x="2"/>
        <item x="3"/>
        <item x="4"/>
        <item x="5"/>
        <item x="6"/>
        <item x="7"/>
        <item t="default"/>
      </items>
    </pivotField>
  </pivotFields>
  <rowFields count="1">
    <field x="5"/>
  </rowFields>
  <rowItems count="6">
    <i>
      <x v="1"/>
    </i>
    <i>
      <x v="2"/>
    </i>
    <i>
      <x v="3"/>
    </i>
    <i>
      <x v="4"/>
    </i>
    <i>
      <x v="5"/>
    </i>
    <i>
      <x v="6"/>
    </i>
  </rowItems>
  <colFields count="1">
    <field x="1"/>
  </colFields>
  <colItems count="2">
    <i>
      <x/>
    </i>
    <i>
      <x v="1"/>
    </i>
  </colItems>
  <dataFields count="1">
    <dataField name="Distance" fld="1" subtotal="count" baseField="0" baseItem="0"/>
  </dataFields>
  <chartFormats count="7">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pivotArea type="data" outline="0" fieldPosition="0">
        <references count="3">
          <reference field="4294967294" count="1" selected="0">
            <x v="0"/>
          </reference>
          <reference field="1" count="1" selected="0">
            <x v="0"/>
          </reference>
          <reference field="5" count="1" selected="0">
            <x v="1"/>
          </reference>
        </references>
      </pivotArea>
    </chartFormat>
    <chartFormat chart="5" format="5" series="1">
      <pivotArea type="data" outline="0" fieldPosition="0">
        <references count="2">
          <reference field="4294967294" count="1" selected="0">
            <x v="0"/>
          </reference>
          <reference field="1" count="1" selected="0">
            <x v="0"/>
          </reference>
        </references>
      </pivotArea>
    </chartFormat>
    <chartFormat chart="5" format="6" series="1">
      <pivotArea type="data" outline="0" fieldPosition="0">
        <references count="2">
          <reference field="4294967294" count="1" selected="0">
            <x v="0"/>
          </reference>
          <reference field="1" count="1" selected="0">
            <x v="1"/>
          </reference>
        </references>
      </pivotArea>
    </chartFormat>
    <chartFormat chart="5" format="7"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2EBAA7-2B2D-4D3E-BA00-07C5BB555CF5}" name="PivotTable25"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K45:L55" firstHeaderRow="1" firstDataRow="2" firstDataCol="1"/>
  <pivotFields count="35">
    <pivotField showAll="0">
      <items count="8">
        <item x="0"/>
        <item x="1"/>
        <item x="2"/>
        <item x="3"/>
        <item x="4"/>
        <item x="5"/>
        <item x="6"/>
        <item t="default"/>
      </items>
    </pivotField>
    <pivotField axis="axisCol" dataField="1" showAll="0">
      <items count="3">
        <item h="1" x="1"/>
        <item x="0"/>
        <item t="default"/>
      </items>
    </pivotField>
    <pivotField showAll="0">
      <items count="4">
        <item x="2"/>
        <item x="1"/>
        <item x="0"/>
        <item t="default"/>
      </items>
    </pivotField>
    <pivotField showAll="0"/>
    <pivotField showAll="0">
      <items count="4">
        <item x="2"/>
        <item x="1"/>
        <item x="0"/>
        <item t="default"/>
      </items>
    </pivotField>
    <pivotField showAll="0">
      <items count="9">
        <item x="0"/>
        <item x="1"/>
        <item x="2"/>
        <item x="3"/>
        <item x="4"/>
        <item x="5"/>
        <item x="6"/>
        <item x="7"/>
        <item t="default"/>
      </items>
    </pivotField>
    <pivotField showAll="0"/>
    <pivotField showAll="0">
      <items count="7">
        <item x="5"/>
        <item x="0"/>
        <item x="3"/>
        <item x="2"/>
        <item x="1"/>
        <item x="4"/>
        <item t="default"/>
      </items>
    </pivotField>
    <pivotField showAll="0"/>
    <pivotField showAll="0"/>
    <pivotField showAll="0"/>
    <pivotField showAll="0">
      <items count="3">
        <item x="0"/>
        <item x="1"/>
        <item t="default"/>
      </items>
    </pivotField>
    <pivotField showAll="0">
      <items count="7">
        <item x="0"/>
        <item x="1"/>
        <item x="2"/>
        <item x="3"/>
        <item x="4"/>
        <item x="5"/>
        <item t="default"/>
      </items>
    </pivotField>
    <pivotField showAll="0"/>
    <pivotField showAll="0"/>
    <pivotField axis="axisRow" showAll="0" sortType="de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showAll="0">
      <items count="10">
        <item x="0"/>
        <item x="1"/>
        <item x="2"/>
        <item x="3"/>
        <item x="4"/>
        <item x="5"/>
        <item x="6"/>
        <item x="7"/>
        <item x="8"/>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items count="8">
        <item x="0"/>
        <item x="1"/>
        <item x="2"/>
        <item x="3"/>
        <item x="4"/>
        <item x="5"/>
        <item x="6"/>
        <item t="default"/>
      </items>
    </pivotField>
    <pivotField showAll="0">
      <items count="9">
        <item x="0"/>
        <item x="1"/>
        <item x="2"/>
        <item x="3"/>
        <item x="4"/>
        <item x="5"/>
        <item x="6"/>
        <item x="7"/>
        <item t="default"/>
      </items>
    </pivotField>
  </pivotFields>
  <rowFields count="1">
    <field x="15"/>
  </rowFields>
  <rowItems count="9">
    <i>
      <x v="2"/>
    </i>
    <i>
      <x v="7"/>
    </i>
    <i>
      <x v="6"/>
    </i>
    <i>
      <x v="8"/>
    </i>
    <i>
      <x v="1"/>
    </i>
    <i>
      <x v="4"/>
    </i>
    <i>
      <x/>
    </i>
    <i>
      <x v="3"/>
    </i>
    <i>
      <x v="5"/>
    </i>
  </rowItems>
  <colFields count="1">
    <field x="1"/>
  </colFields>
  <colItems count="1">
    <i>
      <x v="1"/>
    </i>
  </colItems>
  <dataFields count="1">
    <dataField name="attrition for job" fld="1" subtotal="count" baseField="0" baseItem="0"/>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7FAD1CB-DCA9-42CD-BF21-90C1B8767AD9}" name="PivotTable24" cacheId="1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G1:I4" firstHeaderRow="0" firstDataRow="1" firstDataCol="1"/>
  <pivotFields count="35">
    <pivotField showAll="0"/>
    <pivotField axis="axisRow" dataField="1" showAll="0">
      <items count="3">
        <item x="1"/>
        <item x="0"/>
        <item t="default"/>
      </items>
    </pivotField>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pivotField showAll="0"/>
    <pivotField showAll="0">
      <items count="7">
        <item x="0"/>
        <item x="1"/>
        <item x="2"/>
        <item x="3"/>
        <item x="4"/>
        <item x="5"/>
        <item t="default"/>
      </items>
    </pivotField>
    <pivotField showAll="0"/>
    <pivotField showAll="0"/>
    <pivotField showAll="0">
      <items count="10">
        <item x="4"/>
        <item x="8"/>
        <item x="2"/>
        <item x="5"/>
        <item x="3"/>
        <item x="7"/>
        <item x="1"/>
        <item x="0"/>
        <item x="6"/>
        <item t="default"/>
      </items>
    </pivotField>
    <pivotField showAll="0"/>
    <pivotField showAll="0"/>
    <pivotField showAll="0">
      <items count="10">
        <item x="0"/>
        <item x="1"/>
        <item x="2"/>
        <item x="3"/>
        <item x="4"/>
        <item x="5"/>
        <item x="6"/>
        <item x="7"/>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Fields count="1">
    <field x="-2"/>
  </colFields>
  <colItems count="2">
    <i>
      <x/>
    </i>
    <i i="1">
      <x v="1"/>
    </i>
  </colItems>
  <dataFields count="2">
    <dataField name="Count of Attrition" fld="1" subtotal="count" baseField="0" baseItem="0"/>
    <dataField name="Count of Attrition2" fld="1" subtotal="count" showDataAs="percentOfTotal" baseField="1" baseItem="1" numFmtId="10"/>
  </dataFields>
  <formats count="2">
    <format dxfId="572">
      <pivotArea outline="0" collapsedLevelsAreSubtotals="1" fieldPosition="0"/>
    </format>
    <format dxfId="571">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4CD1139-EDEF-4657-A7A4-9419B53AD99B}" name="PivotTable22" cacheId="1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2:B3" firstHeaderRow="1" firstDataRow="1" firstDataCol="0"/>
  <pivotFields count="35">
    <pivotField dataField="1" showAll="0"/>
    <pivotField showAll="0"/>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pivotField showAll="0"/>
    <pivotField showAll="0">
      <items count="7">
        <item x="0"/>
        <item x="1"/>
        <item x="2"/>
        <item x="3"/>
        <item x="4"/>
        <item x="5"/>
        <item t="default"/>
      </items>
    </pivotField>
    <pivotField showAll="0"/>
    <pivotField showAll="0"/>
    <pivotField showAll="0">
      <items count="10">
        <item x="4"/>
        <item x="8"/>
        <item x="2"/>
        <item x="5"/>
        <item x="3"/>
        <item x="7"/>
        <item x="1"/>
        <item x="0"/>
        <item x="6"/>
        <item t="default"/>
      </items>
    </pivotField>
    <pivotField showAll="0"/>
    <pivotField showAll="0"/>
    <pivotField showAll="0">
      <items count="10">
        <item x="0"/>
        <item x="1"/>
        <item x="2"/>
        <item x="3"/>
        <item x="4"/>
        <item x="5"/>
        <item x="6"/>
        <item x="7"/>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ge" fld="0" subtotal="average" baseField="0" baseItem="0" numFmtId="1"/>
  </dataFields>
  <formats count="1">
    <format dxfId="57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490FE0B-53FF-47BD-A06A-61B8A03DA3B0}" name="PivotTable21" cacheId="1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2:A3" firstHeaderRow="1" firstDataRow="1" firstDataCol="0"/>
  <pivotFields count="35">
    <pivotField showAll="0"/>
    <pivotField showAll="0"/>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dataField="1" showAll="0"/>
    <pivotField showAll="0"/>
    <pivotField showAll="0"/>
    <pivotField showAll="0"/>
    <pivotField showAll="0">
      <items count="7">
        <item x="0"/>
        <item x="1"/>
        <item x="2"/>
        <item x="3"/>
        <item x="4"/>
        <item x="5"/>
        <item t="default"/>
      </items>
    </pivotField>
    <pivotField showAll="0"/>
    <pivotField showAll="0"/>
    <pivotField showAll="0">
      <items count="10">
        <item x="4"/>
        <item x="8"/>
        <item x="2"/>
        <item x="5"/>
        <item x="3"/>
        <item x="7"/>
        <item x="1"/>
        <item x="0"/>
        <item x="6"/>
        <item t="default"/>
      </items>
    </pivotField>
    <pivotField showAll="0"/>
    <pivotField showAll="0"/>
    <pivotField showAll="0">
      <items count="10">
        <item x="0"/>
        <item x="1"/>
        <item x="2"/>
        <item x="3"/>
        <item x="4"/>
        <item x="5"/>
        <item x="6"/>
        <item x="7"/>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EmployeeC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E322E01-FF66-40AE-ADDF-007DC3406B05}" name="PivotTable13"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Business travel">
  <location ref="G34:H37" firstHeaderRow="1" firstDataRow="1" firstDataCol="1"/>
  <pivotFields count="35">
    <pivotField showAll="0">
      <items count="8">
        <item x="0"/>
        <item x="1"/>
        <item x="2"/>
        <item x="3"/>
        <item x="4"/>
        <item x="5"/>
        <item x="6"/>
        <item t="default"/>
      </items>
    </pivotField>
    <pivotField showAll="0"/>
    <pivotField axis="axisRow" showAll="0">
      <items count="4">
        <item x="2"/>
        <item x="1"/>
        <item x="0"/>
        <item t="default"/>
      </items>
    </pivotField>
    <pivotField showAll="0"/>
    <pivotField showAll="0">
      <items count="4">
        <item x="2"/>
        <item x="1"/>
        <item x="0"/>
        <item t="default"/>
      </items>
    </pivotField>
    <pivotField showAll="0">
      <items count="9">
        <item x="0"/>
        <item x="1"/>
        <item x="2"/>
        <item x="3"/>
        <item x="4"/>
        <item x="5"/>
        <item x="6"/>
        <item x="7"/>
        <item t="default"/>
      </items>
    </pivotField>
    <pivotField showAll="0"/>
    <pivotField showAll="0">
      <items count="7">
        <item x="5"/>
        <item x="0"/>
        <item x="3"/>
        <item x="2"/>
        <item x="1"/>
        <item x="4"/>
        <item t="default"/>
      </items>
    </pivotField>
    <pivotField dataField="1" showAll="0"/>
    <pivotField showAll="0"/>
    <pivotField showAll="0"/>
    <pivotField showAll="0">
      <items count="3">
        <item x="0"/>
        <item x="1"/>
        <item t="default"/>
      </items>
    </pivotField>
    <pivotField showAll="0">
      <items count="7">
        <item x="0"/>
        <item x="1"/>
        <item x="2"/>
        <item x="3"/>
        <item x="4"/>
        <item x="5"/>
        <item t="default"/>
      </items>
    </pivotField>
    <pivotField showAll="0"/>
    <pivotField showAll="0"/>
    <pivotField showAll="0">
      <items count="10">
        <item x="4"/>
        <item x="8"/>
        <item x="2"/>
        <item x="5"/>
        <item x="3"/>
        <item x="7"/>
        <item x="1"/>
        <item x="0"/>
        <item x="6"/>
        <item t="default"/>
      </items>
    </pivotField>
    <pivotField showAll="0"/>
    <pivotField showAll="0"/>
    <pivotField showAll="0">
      <items count="10">
        <item x="0"/>
        <item x="1"/>
        <item x="2"/>
        <item x="3"/>
        <item x="4"/>
        <item x="5"/>
        <item x="6"/>
        <item x="7"/>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0"/>
        <item x="1"/>
        <item x="2"/>
        <item x="3"/>
        <item x="4"/>
        <item x="5"/>
        <item x="6"/>
        <item t="default"/>
      </items>
    </pivotField>
    <pivotField showAll="0">
      <items count="9">
        <item x="0"/>
        <item x="1"/>
        <item x="2"/>
        <item x="3"/>
        <item x="4"/>
        <item x="5"/>
        <item x="6"/>
        <item x="7"/>
        <item t="default"/>
      </items>
    </pivotField>
  </pivotFields>
  <rowFields count="1">
    <field x="2"/>
  </rowFields>
  <rowItems count="3">
    <i>
      <x/>
    </i>
    <i>
      <x v="1"/>
    </i>
    <i>
      <x v="2"/>
    </i>
  </rowItems>
  <colItems count="1">
    <i/>
  </colItems>
  <dataFields count="1">
    <dataField name="Sum of EmployeeCount" fld="8" baseField="11"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2CB641F-2318-4411-904D-DB8A4DFB19EC}" name="PivotTable6"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5">
  <location ref="A6:B11" firstHeaderRow="1" firstDataRow="1" firstDataCol="1"/>
  <pivotFields count="35">
    <pivotField axis="axisRow" showAll="0">
      <items count="8">
        <item x="0"/>
        <item x="1"/>
        <item x="2"/>
        <item x="3"/>
        <item x="4"/>
        <item x="5"/>
        <item x="6"/>
        <item t="default"/>
      </items>
    </pivotField>
    <pivotField showAll="0"/>
    <pivotField showAll="0"/>
    <pivotField showAll="0"/>
    <pivotField showAll="0">
      <items count="4">
        <item x="2"/>
        <item x="1"/>
        <item x="0"/>
        <item t="default"/>
      </items>
    </pivotField>
    <pivotField showAll="0">
      <items count="9">
        <item x="0"/>
        <item x="1"/>
        <item x="2"/>
        <item x="3"/>
        <item x="4"/>
        <item x="5"/>
        <item x="6"/>
        <item x="7"/>
        <item t="default"/>
      </items>
    </pivotField>
    <pivotField showAll="0"/>
    <pivotField showAll="0">
      <items count="7">
        <item x="5"/>
        <item x="0"/>
        <item x="3"/>
        <item x="2"/>
        <item x="1"/>
        <item x="4"/>
        <item t="default"/>
      </items>
    </pivotField>
    <pivotField dataField="1" showAll="0"/>
    <pivotField showAll="0"/>
    <pivotField showAll="0"/>
    <pivotField showAll="0"/>
    <pivotField showAll="0">
      <items count="7">
        <item x="0"/>
        <item x="1"/>
        <item x="2"/>
        <item x="3"/>
        <item x="4"/>
        <item x="5"/>
        <item t="default"/>
      </items>
    </pivotField>
    <pivotField showAll="0"/>
    <pivotField showAll="0"/>
    <pivotField showAll="0">
      <items count="10">
        <item x="4"/>
        <item x="8"/>
        <item x="2"/>
        <item x="5"/>
        <item x="3"/>
        <item x="7"/>
        <item x="1"/>
        <item x="0"/>
        <item x="6"/>
        <item t="default"/>
      </items>
    </pivotField>
    <pivotField showAll="0"/>
    <pivotField showAll="0"/>
    <pivotField showAll="0">
      <items count="10">
        <item x="0"/>
        <item x="1"/>
        <item x="2"/>
        <item x="3"/>
        <item x="4"/>
        <item x="5"/>
        <item x="6"/>
        <item x="7"/>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0"/>
        <item x="1"/>
        <item x="2"/>
        <item x="3"/>
        <item x="4"/>
        <item x="5"/>
        <item x="6"/>
        <item t="default"/>
      </items>
    </pivotField>
    <pivotField showAll="0">
      <items count="9">
        <item x="0"/>
        <item x="1"/>
        <item x="2"/>
        <item x="3"/>
        <item x="4"/>
        <item x="5"/>
        <item x="6"/>
        <item x="7"/>
        <item t="default"/>
      </items>
    </pivotField>
  </pivotFields>
  <rowFields count="1">
    <field x="0"/>
  </rowFields>
  <rowItems count="5">
    <i>
      <x v="1"/>
    </i>
    <i>
      <x v="2"/>
    </i>
    <i>
      <x v="3"/>
    </i>
    <i>
      <x v="4"/>
    </i>
    <i>
      <x v="5"/>
    </i>
  </rowItems>
  <colItems count="1">
    <i/>
  </colItems>
  <dataFields count="1">
    <dataField name="Sum of EmployeeCount" fld="8" baseField="0" baseItem="7"/>
  </dataFields>
  <chartFormats count="1">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8024089-DFDB-4581-A097-1AACD93554FE}" name="PivotTable7"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7:E12" firstHeaderRow="1" firstDataRow="1" firstDataCol="1"/>
  <pivotFields count="35">
    <pivotField showAll="0">
      <items count="8">
        <item x="0"/>
        <item x="1"/>
        <item x="2"/>
        <item x="3"/>
        <item x="4"/>
        <item x="5"/>
        <item x="6"/>
        <item t="default"/>
      </items>
    </pivotField>
    <pivotField showAll="0"/>
    <pivotField showAll="0"/>
    <pivotField showAll="0"/>
    <pivotField showAll="0">
      <items count="4">
        <item x="2"/>
        <item x="1"/>
        <item x="0"/>
        <item t="default"/>
      </items>
    </pivotField>
    <pivotField showAll="0">
      <items count="9">
        <item x="0"/>
        <item x="1"/>
        <item x="2"/>
        <item x="3"/>
        <item x="4"/>
        <item x="5"/>
        <item x="6"/>
        <item x="7"/>
        <item t="default"/>
      </items>
    </pivotField>
    <pivotField showAll="0"/>
    <pivotField showAll="0">
      <items count="7">
        <item x="5"/>
        <item x="0"/>
        <item x="3"/>
        <item x="2"/>
        <item x="1"/>
        <item x="4"/>
        <item t="default"/>
      </items>
    </pivotField>
    <pivotField dataField="1" showAll="0"/>
    <pivotField showAll="0"/>
    <pivotField showAll="0"/>
    <pivotField showAll="0"/>
    <pivotField axis="axisRow" showAll="0">
      <items count="7">
        <item x="0"/>
        <item x="1"/>
        <item x="2"/>
        <item x="3"/>
        <item x="4"/>
        <item x="5"/>
        <item t="default"/>
      </items>
    </pivotField>
    <pivotField showAll="0"/>
    <pivotField showAll="0"/>
    <pivotField showAll="0">
      <items count="10">
        <item x="4"/>
        <item x="8"/>
        <item x="2"/>
        <item x="5"/>
        <item x="3"/>
        <item x="7"/>
        <item x="1"/>
        <item x="0"/>
        <item x="6"/>
        <item t="default"/>
      </items>
    </pivotField>
    <pivotField showAll="0"/>
    <pivotField showAll="0"/>
    <pivotField showAll="0">
      <items count="10">
        <item x="0"/>
        <item x="1"/>
        <item x="2"/>
        <item x="3"/>
        <item x="4"/>
        <item x="5"/>
        <item x="6"/>
        <item x="7"/>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0"/>
        <item x="1"/>
        <item x="2"/>
        <item x="3"/>
        <item x="4"/>
        <item x="5"/>
        <item x="6"/>
        <item t="default"/>
      </items>
    </pivotField>
    <pivotField showAll="0">
      <items count="9">
        <item x="0"/>
        <item x="1"/>
        <item x="2"/>
        <item x="3"/>
        <item x="4"/>
        <item x="5"/>
        <item x="6"/>
        <item x="7"/>
        <item t="default"/>
      </items>
    </pivotField>
  </pivotFields>
  <rowFields count="1">
    <field x="12"/>
  </rowFields>
  <rowItems count="5">
    <i>
      <x v="1"/>
    </i>
    <i>
      <x v="2"/>
    </i>
    <i>
      <x v="3"/>
    </i>
    <i>
      <x v="4"/>
    </i>
    <i t="grand">
      <x/>
    </i>
  </rowItems>
  <colItems count="1">
    <i/>
  </colItems>
  <dataFields count="1">
    <dataField name="Sum of EmployeeCount" fld="8" baseField="12" baseItem="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10F04EE-2281-4684-8B99-1864B4077ABC}" name="PivotTable19"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N20:O23" firstHeaderRow="1" firstDataRow="1" firstDataCol="1"/>
  <pivotFields count="35">
    <pivotField showAll="0">
      <items count="8">
        <item x="0"/>
        <item x="1"/>
        <item x="2"/>
        <item x="3"/>
        <item x="4"/>
        <item x="5"/>
        <item x="6"/>
        <item t="default"/>
      </items>
    </pivotField>
    <pivotField showAll="0"/>
    <pivotField showAll="0"/>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items count="9">
        <item x="0"/>
        <item x="1"/>
        <item x="2"/>
        <item x="3"/>
        <item x="4"/>
        <item x="5"/>
        <item x="6"/>
        <item x="7"/>
        <item t="default"/>
      </items>
    </pivotField>
    <pivotField showAll="0"/>
    <pivotField showAll="0">
      <items count="7">
        <item x="5"/>
        <item x="0"/>
        <item x="3"/>
        <item x="2"/>
        <item x="1"/>
        <item x="4"/>
        <item t="default"/>
      </items>
    </pivotField>
    <pivotField showAll="0"/>
    <pivotField showAll="0"/>
    <pivotField showAll="0"/>
    <pivotField showAll="0">
      <items count="3">
        <item x="0"/>
        <item x="1"/>
        <item t="default"/>
      </items>
    </pivotField>
    <pivotField showAll="0">
      <items count="7">
        <item x="0"/>
        <item x="1"/>
        <item x="2"/>
        <item x="3"/>
        <item x="4"/>
        <item x="5"/>
        <item t="default"/>
      </items>
    </pivotField>
    <pivotField showAll="0"/>
    <pivotField showAll="0"/>
    <pivotField showAll="0">
      <items count="10">
        <item x="4"/>
        <item x="8"/>
        <item x="2"/>
        <item x="5"/>
        <item x="3"/>
        <item x="7"/>
        <item x="1"/>
        <item x="0"/>
        <item x="6"/>
        <item t="default"/>
      </items>
    </pivotField>
    <pivotField showAll="0"/>
    <pivotField showAll="0"/>
    <pivotField dataField="1" showAll="0">
      <items count="10">
        <item x="0"/>
        <item x="1"/>
        <item x="2"/>
        <item x="3"/>
        <item x="4"/>
        <item x="5"/>
        <item x="6"/>
        <item x="7"/>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0"/>
        <item x="1"/>
        <item x="2"/>
        <item x="3"/>
        <item x="4"/>
        <item x="5"/>
        <item x="6"/>
        <item t="default"/>
      </items>
    </pivotField>
    <pivotField showAll="0">
      <items count="9">
        <item x="0"/>
        <item x="1"/>
        <item x="2"/>
        <item x="3"/>
        <item x="4"/>
        <item x="5"/>
        <item x="6"/>
        <item x="7"/>
        <item t="default"/>
      </items>
    </pivotField>
  </pivotFields>
  <rowFields count="1">
    <field x="4"/>
  </rowFields>
  <rowItems count="3">
    <i>
      <x v="2"/>
    </i>
    <i>
      <x/>
    </i>
    <i>
      <x v="1"/>
    </i>
  </rowItems>
  <colItems count="1">
    <i/>
  </colItems>
  <dataFields count="1">
    <dataField name="Average of MonthlyIncome" fld="18" subtotal="average" baseField="4" baseItem="2" numFmtId="1"/>
  </dataFields>
  <formats count="1">
    <format dxfId="57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69A1C87-FA6B-42D0-978D-78B321828D2C}" name="PivotTable16"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G45:I51" firstHeaderRow="1" firstDataRow="2" firstDataCol="1"/>
  <pivotFields count="35">
    <pivotField showAll="0">
      <items count="8">
        <item x="0"/>
        <item x="1"/>
        <item x="2"/>
        <item x="3"/>
        <item x="4"/>
        <item x="5"/>
        <item x="6"/>
        <item t="default"/>
      </items>
    </pivotField>
    <pivotField axis="axisCol" dataField="1" showAll="0">
      <items count="3">
        <item x="1"/>
        <item x="0"/>
        <item t="default"/>
      </items>
    </pivotField>
    <pivotField showAll="0">
      <items count="4">
        <item x="2"/>
        <item x="1"/>
        <item x="0"/>
        <item t="default"/>
      </items>
    </pivotField>
    <pivotField showAll="0"/>
    <pivotField showAll="0">
      <items count="4">
        <item x="2"/>
        <item x="1"/>
        <item x="0"/>
        <item t="default"/>
      </items>
    </pivotField>
    <pivotField showAll="0">
      <items count="9">
        <item x="0"/>
        <item x="1"/>
        <item x="2"/>
        <item x="3"/>
        <item x="4"/>
        <item x="5"/>
        <item x="6"/>
        <item x="7"/>
        <item t="default"/>
      </items>
    </pivotField>
    <pivotField showAll="0"/>
    <pivotField showAll="0">
      <items count="7">
        <item x="5"/>
        <item x="0"/>
        <item x="3"/>
        <item x="2"/>
        <item x="1"/>
        <item x="4"/>
        <item t="default"/>
      </items>
    </pivotField>
    <pivotField showAll="0"/>
    <pivotField showAll="0"/>
    <pivotField showAll="0"/>
    <pivotField showAll="0">
      <items count="3">
        <item x="0"/>
        <item x="1"/>
        <item t="default"/>
      </items>
    </pivotField>
    <pivotField showAll="0">
      <items count="7">
        <item x="0"/>
        <item x="1"/>
        <item x="2"/>
        <item x="3"/>
        <item x="4"/>
        <item x="5"/>
        <item t="default"/>
      </items>
    </pivotField>
    <pivotField showAll="0"/>
    <pivotField showAll="0"/>
    <pivotField showAll="0">
      <items count="10">
        <item x="4"/>
        <item x="8"/>
        <item x="2"/>
        <item x="5"/>
        <item x="3"/>
        <item x="7"/>
        <item x="1"/>
        <item x="0"/>
        <item x="6"/>
        <item t="default"/>
      </items>
    </pivotField>
    <pivotField showAll="0"/>
    <pivotField showAll="0"/>
    <pivotField showAll="0">
      <items count="10">
        <item x="0"/>
        <item x="1"/>
        <item x="2"/>
        <item x="3"/>
        <item x="4"/>
        <item x="5"/>
        <item x="6"/>
        <item x="7"/>
        <item x="8"/>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axis="axisRow" showAll="0">
      <items count="8">
        <item x="0"/>
        <item x="1"/>
        <item x="2"/>
        <item x="3"/>
        <item x="4"/>
        <item x="5"/>
        <item x="6"/>
        <item t="default"/>
      </items>
    </pivotField>
    <pivotField showAll="0">
      <items count="9">
        <item x="0"/>
        <item x="1"/>
        <item x="2"/>
        <item x="3"/>
        <item x="4"/>
        <item x="5"/>
        <item x="6"/>
        <item x="7"/>
        <item t="default"/>
      </items>
    </pivotField>
  </pivotFields>
  <rowFields count="1">
    <field x="33"/>
  </rowFields>
  <rowItems count="5">
    <i>
      <x v="1"/>
    </i>
    <i>
      <x v="2"/>
    </i>
    <i>
      <x v="3"/>
    </i>
    <i>
      <x v="4"/>
    </i>
    <i>
      <x v="5"/>
    </i>
  </rowItems>
  <colFields count="1">
    <field x="1"/>
  </colFields>
  <colItems count="2">
    <i>
      <x/>
    </i>
    <i>
      <x v="1"/>
    </i>
  </colItems>
  <dataFields count="1">
    <dataField name="attrition by jop promotition"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C157DE4-8B25-4870-8E81-F817DDBDC8F4}" name="PivotTable9"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G12:H21" firstHeaderRow="1" firstDataRow="1" firstDataCol="1"/>
  <pivotFields count="35">
    <pivotField showAll="0">
      <items count="8">
        <item x="0"/>
        <item x="1"/>
        <item x="2"/>
        <item x="3"/>
        <item x="4"/>
        <item x="5"/>
        <item x="6"/>
        <item t="default"/>
      </items>
    </pivotField>
    <pivotField showAll="0"/>
    <pivotField showAll="0"/>
    <pivotField showAll="0"/>
    <pivotField showAll="0">
      <items count="4">
        <item x="2"/>
        <item x="1"/>
        <item x="0"/>
        <item t="default"/>
      </items>
    </pivotField>
    <pivotField showAll="0">
      <items count="9">
        <item x="0"/>
        <item x="1"/>
        <item x="2"/>
        <item x="3"/>
        <item x="4"/>
        <item x="5"/>
        <item x="6"/>
        <item x="7"/>
        <item t="default"/>
      </items>
    </pivotField>
    <pivotField showAll="0"/>
    <pivotField showAll="0">
      <items count="7">
        <item x="5"/>
        <item x="0"/>
        <item x="3"/>
        <item x="2"/>
        <item x="1"/>
        <item x="4"/>
        <item t="default"/>
      </items>
    </pivotField>
    <pivotField dataField="1" showAll="0"/>
    <pivotField showAll="0"/>
    <pivotField showAll="0"/>
    <pivotField showAll="0">
      <items count="3">
        <item x="0"/>
        <item x="1"/>
        <item t="default"/>
      </items>
    </pivotField>
    <pivotField showAll="0">
      <items count="7">
        <item x="0"/>
        <item x="1"/>
        <item x="2"/>
        <item x="3"/>
        <item x="4"/>
        <item x="5"/>
        <item t="default"/>
      </items>
    </pivotField>
    <pivotField showAll="0"/>
    <pivotField showAll="0"/>
    <pivotField axis="axisRow" showAll="0" sortType="a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showAll="0">
      <items count="10">
        <item x="0"/>
        <item x="1"/>
        <item x="2"/>
        <item x="3"/>
        <item x="4"/>
        <item x="5"/>
        <item x="6"/>
        <item x="7"/>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0"/>
        <item x="1"/>
        <item x="2"/>
        <item x="3"/>
        <item x="4"/>
        <item x="5"/>
        <item x="6"/>
        <item t="default"/>
      </items>
    </pivotField>
    <pivotField showAll="0">
      <items count="9">
        <item x="0"/>
        <item x="1"/>
        <item x="2"/>
        <item x="3"/>
        <item x="4"/>
        <item x="5"/>
        <item x="6"/>
        <item x="7"/>
        <item t="default"/>
      </items>
    </pivotField>
  </pivotFields>
  <rowFields count="1">
    <field x="15"/>
  </rowFields>
  <rowItems count="9">
    <i>
      <x v="1"/>
    </i>
    <i>
      <x v="5"/>
    </i>
    <i>
      <x v="8"/>
    </i>
    <i>
      <x v="3"/>
    </i>
    <i>
      <x/>
    </i>
    <i>
      <x v="4"/>
    </i>
    <i>
      <x v="2"/>
    </i>
    <i>
      <x v="6"/>
    </i>
    <i>
      <x v="7"/>
    </i>
  </rowItems>
  <colItems count="1">
    <i/>
  </colItems>
  <dataFields count="1">
    <dataField name="Sum of EmployeeCount" fld="8" baseField="15" baseItem="6"/>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EDAEBC5-3746-45AE-A314-517049AD9957}" name="PivotTable10"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J12:K18" firstHeaderRow="1" firstDataRow="1" firstDataCol="1"/>
  <pivotFields count="35">
    <pivotField showAll="0">
      <items count="8">
        <item x="0"/>
        <item x="1"/>
        <item x="2"/>
        <item x="3"/>
        <item x="4"/>
        <item x="5"/>
        <item x="6"/>
        <item t="default"/>
      </items>
    </pivotField>
    <pivotField showAll="0"/>
    <pivotField showAll="0"/>
    <pivotField showAll="0"/>
    <pivotField showAll="0">
      <items count="4">
        <item x="2"/>
        <item x="1"/>
        <item x="0"/>
        <item t="default"/>
      </items>
    </pivotField>
    <pivotField showAll="0">
      <items count="9">
        <item x="0"/>
        <item x="1"/>
        <item x="2"/>
        <item x="3"/>
        <item x="4"/>
        <item x="5"/>
        <item x="6"/>
        <item x="7"/>
        <item t="default"/>
      </items>
    </pivotField>
    <pivotField showAll="0"/>
    <pivotField axis="axisRow" showAll="0" sortType="ascending">
      <items count="7">
        <item x="5"/>
        <item x="0"/>
        <item x="3"/>
        <item x="2"/>
        <item x="1"/>
        <item x="4"/>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items count="3">
        <item x="0"/>
        <item x="1"/>
        <item t="default"/>
      </items>
    </pivotField>
    <pivotField showAll="0">
      <items count="7">
        <item x="0"/>
        <item x="1"/>
        <item x="2"/>
        <item x="3"/>
        <item x="4"/>
        <item x="5"/>
        <item t="default"/>
      </items>
    </pivotField>
    <pivotField showAll="0"/>
    <pivotField showAll="0"/>
    <pivotField showAll="0">
      <items count="10">
        <item x="4"/>
        <item x="8"/>
        <item x="2"/>
        <item x="5"/>
        <item x="3"/>
        <item x="7"/>
        <item x="1"/>
        <item x="0"/>
        <item x="6"/>
        <item t="default"/>
      </items>
    </pivotField>
    <pivotField showAll="0"/>
    <pivotField showAll="0"/>
    <pivotField showAll="0">
      <items count="10">
        <item x="0"/>
        <item x="1"/>
        <item x="2"/>
        <item x="3"/>
        <item x="4"/>
        <item x="5"/>
        <item x="6"/>
        <item x="7"/>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0"/>
        <item x="1"/>
        <item x="2"/>
        <item x="3"/>
        <item x="4"/>
        <item x="5"/>
        <item x="6"/>
        <item t="default"/>
      </items>
    </pivotField>
    <pivotField showAll="0">
      <items count="9">
        <item x="0"/>
        <item x="1"/>
        <item x="2"/>
        <item x="3"/>
        <item x="4"/>
        <item x="5"/>
        <item x="6"/>
        <item x="7"/>
        <item t="default"/>
      </items>
    </pivotField>
  </pivotFields>
  <rowFields count="1">
    <field x="7"/>
  </rowFields>
  <rowItems count="6">
    <i>
      <x/>
    </i>
    <i>
      <x v="4"/>
    </i>
    <i>
      <x v="5"/>
    </i>
    <i>
      <x v="2"/>
    </i>
    <i>
      <x v="3"/>
    </i>
    <i>
      <x v="1"/>
    </i>
  </rowItems>
  <colItems count="1">
    <i/>
  </colItems>
  <dataFields count="1">
    <dataField name="Sum of EmployeeCount" fld="8" baseField="11" baseItem="1"/>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EB50084-2CAE-42CD-A010-5637D86A2489}" name="PivotTable12"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J24:K27" firstHeaderRow="1" firstDataRow="1" firstDataCol="1"/>
  <pivotFields count="35">
    <pivotField showAll="0">
      <items count="8">
        <item x="0"/>
        <item x="1"/>
        <item x="2"/>
        <item x="3"/>
        <item x="4"/>
        <item x="5"/>
        <item x="6"/>
        <item t="default"/>
      </items>
    </pivotField>
    <pivotField showAll="0"/>
    <pivotField showAll="0"/>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items count="9">
        <item x="0"/>
        <item x="1"/>
        <item x="2"/>
        <item x="3"/>
        <item x="4"/>
        <item x="5"/>
        <item x="6"/>
        <item x="7"/>
        <item t="default"/>
      </items>
    </pivotField>
    <pivotField showAll="0"/>
    <pivotField showAll="0">
      <items count="7">
        <item x="5"/>
        <item x="0"/>
        <item x="3"/>
        <item x="2"/>
        <item x="1"/>
        <item x="4"/>
        <item t="default"/>
      </items>
    </pivotField>
    <pivotField dataField="1" showAll="0"/>
    <pivotField showAll="0"/>
    <pivotField showAll="0"/>
    <pivotField showAll="0">
      <items count="3">
        <item x="0"/>
        <item x="1"/>
        <item t="default"/>
      </items>
    </pivotField>
    <pivotField showAll="0">
      <items count="7">
        <item x="0"/>
        <item x="1"/>
        <item x="2"/>
        <item x="3"/>
        <item x="4"/>
        <item x="5"/>
        <item t="default"/>
      </items>
    </pivotField>
    <pivotField showAll="0"/>
    <pivotField showAll="0"/>
    <pivotField showAll="0">
      <items count="10">
        <item x="4"/>
        <item x="8"/>
        <item x="2"/>
        <item x="5"/>
        <item x="3"/>
        <item x="7"/>
        <item x="1"/>
        <item x="0"/>
        <item x="6"/>
        <item t="default"/>
      </items>
    </pivotField>
    <pivotField showAll="0"/>
    <pivotField showAll="0"/>
    <pivotField showAll="0">
      <items count="10">
        <item x="0"/>
        <item x="1"/>
        <item x="2"/>
        <item x="3"/>
        <item x="4"/>
        <item x="5"/>
        <item x="6"/>
        <item x="7"/>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0"/>
        <item x="1"/>
        <item x="2"/>
        <item x="3"/>
        <item x="4"/>
        <item x="5"/>
        <item x="6"/>
        <item t="default"/>
      </items>
    </pivotField>
    <pivotField showAll="0">
      <items count="9">
        <item x="0"/>
        <item x="1"/>
        <item x="2"/>
        <item x="3"/>
        <item x="4"/>
        <item x="5"/>
        <item x="6"/>
        <item x="7"/>
        <item t="default"/>
      </items>
    </pivotField>
  </pivotFields>
  <rowFields count="1">
    <field x="4"/>
  </rowFields>
  <rowItems count="3">
    <i>
      <x v="1"/>
    </i>
    <i>
      <x v="2"/>
    </i>
    <i>
      <x/>
    </i>
  </rowItems>
  <colItems count="1">
    <i/>
  </colItems>
  <dataFields count="1">
    <dataField name="Sum of EmployeeCount" fld="8" baseField="11" baseItem="1"/>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DF88BF6-BC95-480D-96E0-3174C085DC97}" name="PivotTable15"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G40:I43" firstHeaderRow="1" firstDataRow="2" firstDataCol="1"/>
  <pivotFields count="35">
    <pivotField showAll="0">
      <items count="8">
        <item x="0"/>
        <item x="1"/>
        <item x="2"/>
        <item x="3"/>
        <item x="4"/>
        <item x="5"/>
        <item x="6"/>
        <item t="default"/>
      </items>
    </pivotField>
    <pivotField axis="axisCol" dataField="1" showAll="0">
      <items count="3">
        <item x="1"/>
        <item x="0"/>
        <item t="default"/>
      </items>
    </pivotField>
    <pivotField showAll="0">
      <items count="4">
        <item x="2"/>
        <item x="1"/>
        <item x="0"/>
        <item t="default"/>
      </items>
    </pivotField>
    <pivotField showAll="0"/>
    <pivotField showAll="0">
      <items count="4">
        <item x="2"/>
        <item x="1"/>
        <item x="0"/>
        <item t="default"/>
      </items>
    </pivotField>
    <pivotField showAll="0">
      <items count="9">
        <item x="0"/>
        <item x="1"/>
        <item x="2"/>
        <item x="3"/>
        <item x="4"/>
        <item x="5"/>
        <item x="6"/>
        <item x="7"/>
        <item t="default"/>
      </items>
    </pivotField>
    <pivotField showAll="0"/>
    <pivotField showAll="0">
      <items count="7">
        <item x="5"/>
        <item x="0"/>
        <item x="3"/>
        <item x="2"/>
        <item x="1"/>
        <item x="4"/>
        <item t="default"/>
      </items>
    </pivotField>
    <pivotField showAll="0"/>
    <pivotField showAll="0"/>
    <pivotField showAll="0"/>
    <pivotField showAll="0">
      <items count="3">
        <item x="0"/>
        <item x="1"/>
        <item t="default"/>
      </items>
    </pivotField>
    <pivotField showAll="0">
      <items count="7">
        <item x="0"/>
        <item x="1"/>
        <item x="2"/>
        <item x="3"/>
        <item x="4"/>
        <item x="5"/>
        <item t="default"/>
      </items>
    </pivotField>
    <pivotField showAll="0"/>
    <pivotField showAll="0"/>
    <pivotField showAll="0">
      <items count="10">
        <item x="4"/>
        <item x="8"/>
        <item x="2"/>
        <item x="5"/>
        <item x="3"/>
        <item x="7"/>
        <item x="1"/>
        <item x="0"/>
        <item x="6"/>
        <item t="default"/>
      </items>
    </pivotField>
    <pivotField showAll="0"/>
    <pivotField showAll="0"/>
    <pivotField showAll="0">
      <items count="10">
        <item x="0"/>
        <item x="1"/>
        <item x="2"/>
        <item x="3"/>
        <item x="4"/>
        <item x="5"/>
        <item x="6"/>
        <item x="7"/>
        <item x="8"/>
        <item t="default"/>
      </items>
    </pivotField>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items count="8">
        <item x="0"/>
        <item x="1"/>
        <item x="2"/>
        <item x="3"/>
        <item x="4"/>
        <item x="5"/>
        <item x="6"/>
        <item t="default"/>
      </items>
    </pivotField>
    <pivotField showAll="0">
      <items count="9">
        <item x="0"/>
        <item x="1"/>
        <item x="2"/>
        <item x="3"/>
        <item x="4"/>
        <item x="5"/>
        <item x="6"/>
        <item x="7"/>
        <item t="default"/>
      </items>
    </pivotField>
  </pivotFields>
  <rowFields count="1">
    <field x="22"/>
  </rowFields>
  <rowItems count="2">
    <i>
      <x/>
    </i>
    <i>
      <x v="1"/>
    </i>
  </rowItems>
  <colFields count="1">
    <field x="1"/>
  </colFields>
  <colItems count="2">
    <i>
      <x/>
    </i>
    <i>
      <x v="1"/>
    </i>
  </colItems>
  <dataFields count="1">
    <dataField name=" Attrition for over time" fld="1" subtotal="count" baseField="0" baseItem="0"/>
  </dataFields>
  <chartFormats count="5">
    <chartFormat chart="8" format="7" series="1">
      <pivotArea type="data" outline="0" fieldPosition="0">
        <references count="2">
          <reference field="4294967294" count="1" selected="0">
            <x v="0"/>
          </reference>
          <reference field="1" count="1" selected="0">
            <x v="0"/>
          </reference>
        </references>
      </pivotArea>
    </chartFormat>
    <chartFormat chart="8" format="8" series="1">
      <pivotArea type="data" outline="0" fieldPosition="0">
        <references count="2">
          <reference field="4294967294" count="1" selected="0">
            <x v="0"/>
          </reference>
          <reference field="1" count="1" selected="0">
            <x v="1"/>
          </reference>
        </references>
      </pivotArea>
    </chartFormat>
    <chartFormat chart="8" format="9">
      <pivotArea type="data" outline="0" fieldPosition="0">
        <references count="3">
          <reference field="4294967294" count="1" selected="0">
            <x v="0"/>
          </reference>
          <reference field="1" count="1" selected="0">
            <x v="0"/>
          </reference>
          <reference field="22" count="1" selected="0">
            <x v="1"/>
          </reference>
        </references>
      </pivotArea>
    </chartFormat>
    <chartFormat chart="8" format="10">
      <pivotArea type="data" outline="0" fieldPosition="0">
        <references count="3">
          <reference field="4294967294" count="1" selected="0">
            <x v="0"/>
          </reference>
          <reference field="1" count="1" selected="0">
            <x v="0"/>
          </reference>
          <reference field="22" count="1" selected="0">
            <x v="0"/>
          </reference>
        </references>
      </pivotArea>
    </chartFormat>
    <chartFormat chart="8"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89F68FE-DF53-415D-9FD9-B2D3A288BB34}" name="PivotTable17"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K2:K3" firstHeaderRow="1" firstDataRow="1" firstDataCol="0"/>
  <pivotFields count="35">
    <pivotField showAll="0">
      <items count="8">
        <item x="0"/>
        <item x="1"/>
        <item x="2"/>
        <item x="3"/>
        <item x="4"/>
        <item x="5"/>
        <item x="6"/>
        <item t="default"/>
      </items>
    </pivotField>
    <pivotField showAll="0"/>
    <pivotField showAll="0"/>
    <pivotField showAll="0"/>
    <pivotField showAll="0">
      <items count="4">
        <item x="2"/>
        <item x="1"/>
        <item x="0"/>
        <item t="default"/>
      </items>
    </pivotField>
    <pivotField showAll="0">
      <items count="9">
        <item x="0"/>
        <item x="1"/>
        <item x="2"/>
        <item x="3"/>
        <item x="4"/>
        <item x="5"/>
        <item x="6"/>
        <item x="7"/>
        <item t="default"/>
      </items>
    </pivotField>
    <pivotField showAll="0"/>
    <pivotField showAll="0">
      <items count="7">
        <item x="5"/>
        <item x="0"/>
        <item x="3"/>
        <item x="2"/>
        <item x="1"/>
        <item x="4"/>
        <item t="default"/>
      </items>
    </pivotField>
    <pivotField showAll="0"/>
    <pivotField showAll="0"/>
    <pivotField showAll="0"/>
    <pivotField showAll="0">
      <items count="3">
        <item x="0"/>
        <item x="1"/>
        <item t="default"/>
      </items>
    </pivotField>
    <pivotField showAll="0">
      <items count="7">
        <item x="0"/>
        <item x="1"/>
        <item x="2"/>
        <item x="3"/>
        <item x="4"/>
        <item x="5"/>
        <item t="default"/>
      </items>
    </pivotField>
    <pivotField showAll="0"/>
    <pivotField showAll="0"/>
    <pivotField showAll="0">
      <items count="10">
        <item x="4"/>
        <item x="8"/>
        <item x="2"/>
        <item x="5"/>
        <item x="3"/>
        <item x="7"/>
        <item x="1"/>
        <item x="0"/>
        <item x="6"/>
        <item t="default"/>
      </items>
    </pivotField>
    <pivotField dataField="1" showAll="0"/>
    <pivotField showAll="0"/>
    <pivotField showAll="0">
      <items count="10">
        <item x="0"/>
        <item x="1"/>
        <item x="2"/>
        <item x="3"/>
        <item x="4"/>
        <item x="5"/>
        <item x="6"/>
        <item x="7"/>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0"/>
        <item x="1"/>
        <item x="2"/>
        <item x="3"/>
        <item x="4"/>
        <item x="5"/>
        <item x="6"/>
        <item t="default"/>
      </items>
    </pivotField>
    <pivotField showAll="0">
      <items count="9">
        <item x="0"/>
        <item x="1"/>
        <item x="2"/>
        <item x="3"/>
        <item x="4"/>
        <item x="5"/>
        <item x="6"/>
        <item x="7"/>
        <item t="default"/>
      </items>
    </pivotField>
  </pivotFields>
  <rowItems count="1">
    <i/>
  </rowItems>
  <colItems count="1">
    <i/>
  </colItems>
  <dataFields count="1">
    <dataField name="Average of JobSatisfaction" fld="16" subtotal="average" baseField="0" baseItem="0" numFmtId="164"/>
  </dataFields>
  <formats count="1">
    <format dxfId="57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F37A2CA-83B0-4892-AADB-9157C34A9213}" name="PivotTable20"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colHeaderCaption="attrition">
  <location ref="N26:P34" firstHeaderRow="1" firstDataRow="2" firstDataCol="1"/>
  <pivotFields count="35">
    <pivotField showAll="0">
      <items count="8">
        <item x="0"/>
        <item x="1"/>
        <item x="2"/>
        <item x="3"/>
        <item x="4"/>
        <item x="5"/>
        <item x="6"/>
        <item t="default"/>
      </items>
    </pivotField>
    <pivotField axis="axisCol" dataField="1" showAll="0">
      <items count="3">
        <item x="1"/>
        <item x="0"/>
        <item t="default"/>
      </items>
    </pivotField>
    <pivotField showAll="0"/>
    <pivotField showAll="0"/>
    <pivotField showAll="0">
      <items count="4">
        <item x="2"/>
        <item x="1"/>
        <item x="0"/>
        <item t="default"/>
      </items>
    </pivotField>
    <pivotField showAll="0">
      <items count="9">
        <item x="0"/>
        <item x="1"/>
        <item x="2"/>
        <item x="3"/>
        <item x="4"/>
        <item x="5"/>
        <item x="6"/>
        <item x="7"/>
        <item t="default"/>
      </items>
    </pivotField>
    <pivotField showAll="0"/>
    <pivotField showAll="0">
      <items count="7">
        <item x="5"/>
        <item x="0"/>
        <item x="3"/>
        <item x="2"/>
        <item x="1"/>
        <item x="4"/>
        <item t="default"/>
      </items>
    </pivotField>
    <pivotField showAll="0"/>
    <pivotField showAll="0"/>
    <pivotField showAll="0"/>
    <pivotField showAll="0">
      <items count="3">
        <item x="0"/>
        <item x="1"/>
        <item t="default"/>
      </items>
    </pivotField>
    <pivotField showAll="0">
      <items count="7">
        <item x="0"/>
        <item x="1"/>
        <item x="2"/>
        <item x="3"/>
        <item x="4"/>
        <item x="5"/>
        <item t="default"/>
      </items>
    </pivotField>
    <pivotField showAll="0"/>
    <pivotField showAll="0"/>
    <pivotField showAll="0">
      <items count="10">
        <item x="4"/>
        <item x="8"/>
        <item x="2"/>
        <item x="5"/>
        <item x="3"/>
        <item x="7"/>
        <item x="1"/>
        <item x="0"/>
        <item x="6"/>
        <item t="default"/>
      </items>
    </pivotField>
    <pivotField showAll="0"/>
    <pivotField showAll="0"/>
    <pivotField axis="axisRow" showAll="0">
      <items count="10">
        <item x="0"/>
        <item x="1"/>
        <item x="2"/>
        <item x="3"/>
        <item x="4"/>
        <item x="5"/>
        <item x="6"/>
        <item x="7"/>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0"/>
        <item x="1"/>
        <item x="2"/>
        <item x="3"/>
        <item x="4"/>
        <item x="5"/>
        <item x="6"/>
        <item t="default"/>
      </items>
    </pivotField>
    <pivotField showAll="0">
      <items count="9">
        <item x="0"/>
        <item x="1"/>
        <item x="2"/>
        <item x="3"/>
        <item x="4"/>
        <item x="5"/>
        <item x="6"/>
        <item x="7"/>
        <item t="default"/>
      </items>
    </pivotField>
  </pivotFields>
  <rowFields count="1">
    <field x="18"/>
  </rowFields>
  <rowItems count="7">
    <i>
      <x v="1"/>
    </i>
    <i>
      <x v="2"/>
    </i>
    <i>
      <x v="3"/>
    </i>
    <i>
      <x v="4"/>
    </i>
    <i>
      <x v="5"/>
    </i>
    <i>
      <x v="6"/>
    </i>
    <i>
      <x v="7"/>
    </i>
  </rowItems>
  <colFields count="1">
    <field x="1"/>
  </colFields>
  <colItems count="2">
    <i>
      <x/>
    </i>
    <i>
      <x v="1"/>
    </i>
  </colItems>
  <dataFields count="1">
    <dataField name="monthly income" fld="1" subtotal="count" baseField="0" baseItem="0"/>
  </dataFields>
  <formats count="1">
    <format dxfId="570">
      <pivotArea outline="0" collapsedLevelsAreSubtotals="1" fieldPosition="0"/>
    </format>
  </formats>
  <chartFormats count="10">
    <chartFormat chart="8" format="4" series="1">
      <pivotArea type="data" outline="0" fieldPosition="0">
        <references count="2">
          <reference field="4294967294" count="1" selected="0">
            <x v="0"/>
          </reference>
          <reference field="1" count="1" selected="0">
            <x v="0"/>
          </reference>
        </references>
      </pivotArea>
    </chartFormat>
    <chartFormat chart="8" format="5" series="1">
      <pivotArea type="data" outline="0" fieldPosition="0">
        <references count="2">
          <reference field="4294967294" count="1" selected="0">
            <x v="0"/>
          </reference>
          <reference field="1" count="1" selected="0">
            <x v="1"/>
          </reference>
        </references>
      </pivotArea>
    </chartFormat>
    <chartFormat chart="8" format="6">
      <pivotArea type="data" outline="0" fieldPosition="0">
        <references count="3">
          <reference field="4294967294" count="1" selected="0">
            <x v="0"/>
          </reference>
          <reference field="1" count="1" selected="0">
            <x v="1"/>
          </reference>
          <reference field="18" count="1" selected="0">
            <x v="1"/>
          </reference>
        </references>
      </pivotArea>
    </chartFormat>
    <chartFormat chart="8" format="7">
      <pivotArea type="data" outline="0" fieldPosition="0">
        <references count="3">
          <reference field="4294967294" count="1" selected="0">
            <x v="0"/>
          </reference>
          <reference field="1" count="1" selected="0">
            <x v="1"/>
          </reference>
          <reference field="18" count="1" selected="0">
            <x v="2"/>
          </reference>
        </references>
      </pivotArea>
    </chartFormat>
    <chartFormat chart="8" format="8">
      <pivotArea type="data" outline="0" fieldPosition="0">
        <references count="3">
          <reference field="4294967294" count="1" selected="0">
            <x v="0"/>
          </reference>
          <reference field="1" count="1" selected="0">
            <x v="1"/>
          </reference>
          <reference field="18" count="1" selected="0">
            <x v="3"/>
          </reference>
        </references>
      </pivotArea>
    </chartFormat>
    <chartFormat chart="8" format="9">
      <pivotArea type="data" outline="0" fieldPosition="0">
        <references count="3">
          <reference field="4294967294" count="1" selected="0">
            <x v="0"/>
          </reference>
          <reference field="1" count="1" selected="0">
            <x v="1"/>
          </reference>
          <reference field="18" count="1" selected="0">
            <x v="4"/>
          </reference>
        </references>
      </pivotArea>
    </chartFormat>
    <chartFormat chart="8" format="10">
      <pivotArea type="data" outline="0" fieldPosition="0">
        <references count="3">
          <reference field="4294967294" count="1" selected="0">
            <x v="0"/>
          </reference>
          <reference field="1" count="1" selected="0">
            <x v="1"/>
          </reference>
          <reference field="18" count="1" selected="0">
            <x v="5"/>
          </reference>
        </references>
      </pivotArea>
    </chartFormat>
    <chartFormat chart="8" format="11">
      <pivotArea type="data" outline="0" fieldPosition="0">
        <references count="3">
          <reference field="4294967294" count="1" selected="0">
            <x v="0"/>
          </reference>
          <reference field="1" count="1" selected="0">
            <x v="1"/>
          </reference>
          <reference field="18" count="1" selected="0">
            <x v="6"/>
          </reference>
        </references>
      </pivotArea>
    </chartFormat>
    <chartFormat chart="8" format="12">
      <pivotArea type="data" outline="0" fieldPosition="0">
        <references count="3">
          <reference field="4294967294" count="1" selected="0">
            <x v="0"/>
          </reference>
          <reference field="1" count="1" selected="0">
            <x v="1"/>
          </reference>
          <reference field="18" count="1" selected="0">
            <x v="7"/>
          </reference>
        </references>
      </pivotArea>
    </chartFormat>
    <chartFormat chart="8"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002337A-0D9D-4E8C-BC96-1A133B9AEC60}" name="PivotTable11"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G26:H29" firstHeaderRow="1" firstDataRow="1" firstDataCol="1"/>
  <pivotFields count="35">
    <pivotField showAll="0">
      <items count="8">
        <item x="0"/>
        <item x="1"/>
        <item x="2"/>
        <item x="3"/>
        <item x="4"/>
        <item x="5"/>
        <item x="6"/>
        <item t="default"/>
      </items>
    </pivotField>
    <pivotField showAll="0"/>
    <pivotField showAll="0"/>
    <pivotField showAll="0"/>
    <pivotField showAll="0">
      <items count="4">
        <item x="2"/>
        <item x="1"/>
        <item x="0"/>
        <item t="default"/>
      </items>
    </pivotField>
    <pivotField showAll="0">
      <items count="9">
        <item x="0"/>
        <item x="1"/>
        <item x="2"/>
        <item x="3"/>
        <item x="4"/>
        <item x="5"/>
        <item x="6"/>
        <item x="7"/>
        <item t="default"/>
      </items>
    </pivotField>
    <pivotField showAll="0"/>
    <pivotField showAll="0">
      <items count="7">
        <item x="5"/>
        <item x="0"/>
        <item x="3"/>
        <item x="2"/>
        <item x="1"/>
        <item x="4"/>
        <item t="default"/>
      </items>
    </pivotField>
    <pivotField dataField="1" showAll="0"/>
    <pivotField showAll="0"/>
    <pivotField showAll="0"/>
    <pivotField showAll="0">
      <items count="3">
        <item x="0"/>
        <item x="1"/>
        <item t="default"/>
      </items>
    </pivotField>
    <pivotField showAll="0">
      <items count="7">
        <item x="0"/>
        <item x="1"/>
        <item x="2"/>
        <item x="3"/>
        <item x="4"/>
        <item x="5"/>
        <item t="default"/>
      </items>
    </pivotField>
    <pivotField showAll="0"/>
    <pivotField showAll="0"/>
    <pivotField showAll="0">
      <items count="10">
        <item x="4"/>
        <item x="8"/>
        <item x="2"/>
        <item x="5"/>
        <item x="3"/>
        <item x="7"/>
        <item x="1"/>
        <item x="0"/>
        <item x="6"/>
        <item t="default"/>
      </items>
    </pivotField>
    <pivotField showAll="0"/>
    <pivotField axis="axisRow" showAll="0">
      <items count="4">
        <item x="2"/>
        <item x="1"/>
        <item x="0"/>
        <item t="default"/>
      </items>
    </pivotField>
    <pivotField showAll="0">
      <items count="10">
        <item x="0"/>
        <item x="1"/>
        <item x="2"/>
        <item x="3"/>
        <item x="4"/>
        <item x="5"/>
        <item x="6"/>
        <item x="7"/>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0"/>
        <item x="1"/>
        <item x="2"/>
        <item x="3"/>
        <item x="4"/>
        <item x="5"/>
        <item x="6"/>
        <item t="default"/>
      </items>
    </pivotField>
    <pivotField showAll="0">
      <items count="9">
        <item x="0"/>
        <item x="1"/>
        <item x="2"/>
        <item x="3"/>
        <item x="4"/>
        <item x="5"/>
        <item x="6"/>
        <item x="7"/>
        <item t="default"/>
      </items>
    </pivotField>
  </pivotFields>
  <rowFields count="1">
    <field x="17"/>
  </rowFields>
  <rowItems count="3">
    <i>
      <x/>
    </i>
    <i>
      <x v="1"/>
    </i>
    <i>
      <x v="2"/>
    </i>
  </rowItems>
  <colItems count="1">
    <i/>
  </colItems>
  <dataFields count="1">
    <dataField name="Sum of EmployeeCount" fld="8" baseField="11" baseItem="1"/>
  </dataFields>
  <chartFormats count="4">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7" count="1" selected="0">
            <x v="0"/>
          </reference>
        </references>
      </pivotArea>
    </chartFormat>
    <chartFormat chart="6" format="7">
      <pivotArea type="data" outline="0" fieldPosition="0">
        <references count="2">
          <reference field="4294967294" count="1" selected="0">
            <x v="0"/>
          </reference>
          <reference field="17" count="1" selected="0">
            <x v="1"/>
          </reference>
        </references>
      </pivotArea>
    </chartFormat>
    <chartFormat chart="6" format="8">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7F119B5-3331-496D-AEEA-62E9A39ECD3B}" name="PivotTable8"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3">
  <location ref="G7:H9" firstHeaderRow="1" firstDataRow="1" firstDataCol="1"/>
  <pivotFields count="35">
    <pivotField showAll="0">
      <items count="8">
        <item x="0"/>
        <item x="1"/>
        <item x="2"/>
        <item x="3"/>
        <item x="4"/>
        <item x="5"/>
        <item x="6"/>
        <item t="default"/>
      </items>
    </pivotField>
    <pivotField showAll="0"/>
    <pivotField showAll="0"/>
    <pivotField showAll="0"/>
    <pivotField showAll="0">
      <items count="4">
        <item x="2"/>
        <item x="1"/>
        <item x="0"/>
        <item t="default"/>
      </items>
    </pivotField>
    <pivotField showAll="0">
      <items count="9">
        <item x="0"/>
        <item x="1"/>
        <item x="2"/>
        <item x="3"/>
        <item x="4"/>
        <item x="5"/>
        <item x="6"/>
        <item x="7"/>
        <item t="default"/>
      </items>
    </pivotField>
    <pivotField showAll="0"/>
    <pivotField showAll="0">
      <items count="7">
        <item x="5"/>
        <item x="0"/>
        <item x="3"/>
        <item x="2"/>
        <item x="1"/>
        <item x="4"/>
        <item t="default"/>
      </items>
    </pivotField>
    <pivotField dataField="1" showAll="0"/>
    <pivotField showAll="0"/>
    <pivotField showAll="0"/>
    <pivotField axis="axisRow" showAll="0">
      <items count="3">
        <item x="0"/>
        <item x="1"/>
        <item t="default"/>
      </items>
    </pivotField>
    <pivotField showAll="0">
      <items count="7">
        <item x="0"/>
        <item x="1"/>
        <item x="2"/>
        <item x="3"/>
        <item x="4"/>
        <item x="5"/>
        <item t="default"/>
      </items>
    </pivotField>
    <pivotField showAll="0"/>
    <pivotField showAll="0"/>
    <pivotField showAll="0">
      <items count="10">
        <item x="4"/>
        <item x="8"/>
        <item x="2"/>
        <item x="5"/>
        <item x="3"/>
        <item x="7"/>
        <item x="1"/>
        <item x="0"/>
        <item x="6"/>
        <item t="default"/>
      </items>
    </pivotField>
    <pivotField showAll="0"/>
    <pivotField showAll="0"/>
    <pivotField showAll="0">
      <items count="10">
        <item x="0"/>
        <item x="1"/>
        <item x="2"/>
        <item x="3"/>
        <item x="4"/>
        <item x="5"/>
        <item x="6"/>
        <item x="7"/>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0"/>
        <item x="1"/>
        <item x="2"/>
        <item x="3"/>
        <item x="4"/>
        <item x="5"/>
        <item x="6"/>
        <item t="default"/>
      </items>
    </pivotField>
    <pivotField showAll="0">
      <items count="9">
        <item x="0"/>
        <item x="1"/>
        <item x="2"/>
        <item x="3"/>
        <item x="4"/>
        <item x="5"/>
        <item x="6"/>
        <item x="7"/>
        <item t="default"/>
      </items>
    </pivotField>
  </pivotFields>
  <rowFields count="1">
    <field x="11"/>
  </rowFields>
  <rowItems count="2">
    <i>
      <x/>
    </i>
    <i>
      <x v="1"/>
    </i>
  </rowItems>
  <colItems count="1">
    <i/>
  </colItems>
  <dataFields count="1">
    <dataField name="Sum of EmployeeCount" fld="8" baseField="11" baseItem="1"/>
  </dataFields>
  <chartFormats count="3">
    <chartFormat chart="25" format="4" series="1">
      <pivotArea type="data" outline="0" fieldPosition="0">
        <references count="1">
          <reference field="4294967294" count="1" selected="0">
            <x v="0"/>
          </reference>
        </references>
      </pivotArea>
    </chartFormat>
    <chartFormat chart="25" format="5">
      <pivotArea type="data" outline="0" fieldPosition="0">
        <references count="2">
          <reference field="4294967294" count="1" selected="0">
            <x v="0"/>
          </reference>
          <reference field="11" count="1" selected="0">
            <x v="0"/>
          </reference>
        </references>
      </pivotArea>
    </chartFormat>
    <chartFormat chart="25" format="6">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DECD36F9-D21B-4E28-A0B0-BF645E8C9E9A}" name="PivotTable18"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colHeaderCaption="attrition">
  <location ref="M9:O16" firstHeaderRow="1" firstDataRow="2" firstDataCol="1"/>
  <pivotFields count="35">
    <pivotField showAll="0">
      <items count="8">
        <item x="0"/>
        <item x="1"/>
        <item x="2"/>
        <item x="3"/>
        <item x="4"/>
        <item x="5"/>
        <item x="6"/>
        <item t="default"/>
      </items>
    </pivotField>
    <pivotField axis="axisCol" dataField="1" showAll="0">
      <items count="3">
        <item x="1"/>
        <item x="0"/>
        <item t="default"/>
      </items>
    </pivotField>
    <pivotField showAll="0"/>
    <pivotField showAll="0"/>
    <pivotField showAll="0">
      <items count="4">
        <item x="2"/>
        <item x="1"/>
        <item x="0"/>
        <item t="default"/>
      </items>
    </pivotField>
    <pivotField showAll="0">
      <items count="9">
        <item x="0"/>
        <item x="1"/>
        <item x="2"/>
        <item x="3"/>
        <item x="4"/>
        <item x="5"/>
        <item x="6"/>
        <item x="7"/>
        <item t="default"/>
      </items>
    </pivotField>
    <pivotField showAll="0"/>
    <pivotField showAll="0">
      <items count="7">
        <item x="5"/>
        <item x="0"/>
        <item x="3"/>
        <item x="2"/>
        <item x="1"/>
        <item x="4"/>
        <item t="default"/>
      </items>
    </pivotField>
    <pivotField showAll="0"/>
    <pivotField showAll="0"/>
    <pivotField showAll="0"/>
    <pivotField showAll="0">
      <items count="3">
        <item x="0"/>
        <item x="1"/>
        <item t="default"/>
      </items>
    </pivotField>
    <pivotField showAll="0">
      <items count="7">
        <item x="0"/>
        <item x="1"/>
        <item x="2"/>
        <item x="3"/>
        <item x="4"/>
        <item x="5"/>
        <item t="default"/>
      </items>
    </pivotField>
    <pivotField showAll="0"/>
    <pivotField showAll="0"/>
    <pivotField showAll="0">
      <items count="10">
        <item x="4"/>
        <item x="8"/>
        <item x="2"/>
        <item x="5"/>
        <item x="3"/>
        <item x="7"/>
        <item x="1"/>
        <item x="0"/>
        <item x="6"/>
        <item t="default"/>
      </items>
    </pivotField>
    <pivotField showAll="0"/>
    <pivotField showAll="0"/>
    <pivotField showAll="0">
      <items count="10">
        <item x="0"/>
        <item x="1"/>
        <item x="2"/>
        <item x="3"/>
        <item x="4"/>
        <item x="5"/>
        <item x="6"/>
        <item x="7"/>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0"/>
        <item x="1"/>
        <item x="2"/>
        <item x="3"/>
        <item x="4"/>
        <item x="5"/>
        <item x="6"/>
        <item t="default"/>
      </items>
    </pivotField>
    <pivotField axis="axisRow" showAll="0">
      <items count="9">
        <item x="0"/>
        <item x="1"/>
        <item x="2"/>
        <item x="3"/>
        <item x="4"/>
        <item x="5"/>
        <item x="6"/>
        <item x="7"/>
        <item t="default"/>
      </items>
    </pivotField>
  </pivotFields>
  <rowFields count="1">
    <field x="34"/>
  </rowFields>
  <rowItems count="6">
    <i>
      <x v="1"/>
    </i>
    <i>
      <x v="2"/>
    </i>
    <i>
      <x v="3"/>
    </i>
    <i>
      <x v="4"/>
    </i>
    <i>
      <x v="5"/>
    </i>
    <i>
      <x v="6"/>
    </i>
  </rowItems>
  <colFields count="1">
    <field x="1"/>
  </colFields>
  <colItems count="2">
    <i>
      <x/>
    </i>
    <i>
      <x v="1"/>
    </i>
  </colItems>
  <dataFields count="1">
    <dataField name="years with manager" fld="1" subtotal="count" baseField="0" baseItem="0"/>
  </dataFields>
  <chartFormats count="3">
    <chartFormat chart="10" format="4" series="1">
      <pivotArea type="data" outline="0" fieldPosition="0">
        <references count="2">
          <reference field="4294967294" count="1" selected="0">
            <x v="0"/>
          </reference>
          <reference field="1" count="1" selected="0">
            <x v="0"/>
          </reference>
        </references>
      </pivotArea>
    </chartFormat>
    <chartFormat chart="10" format="5" series="1">
      <pivotArea type="data" outline="0" fieldPosition="0">
        <references count="2">
          <reference field="4294967294" count="1" selected="0">
            <x v="0"/>
          </reference>
          <reference field="1" count="1" selected="0">
            <x v="1"/>
          </reference>
        </references>
      </pivotArea>
    </chartFormat>
    <chartFormat chart="1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B3ACE8E-F018-444E-B6FF-E70EBAE3B1F1}" autoFormatId="16" applyNumberFormats="0" applyBorderFormats="0" applyFontFormats="0" applyPatternFormats="0" applyAlignmentFormats="0" applyWidthHeightFormats="0">
  <queryTableRefresh nextId="36">
    <queryTableFields count="35">
      <queryTableField id="1" name="Age" tableColumnId="1"/>
      <queryTableField id="2" name="Attrition" tableColumnId="2"/>
      <queryTableField id="3" name="BusinessTravel" tableColumnId="3"/>
      <queryTableField id="4" name="DailyRate" tableColumnId="4"/>
      <queryTableField id="5" name="Department" tableColumnId="5"/>
      <queryTableField id="6" name="DistanceFromHome" tableColumnId="6"/>
      <queryTableField id="7" name="Education" tableColumnId="7"/>
      <queryTableField id="8" name="EducationField" tableColumnId="8"/>
      <queryTableField id="9" name="EmployeeCount" tableColumnId="9"/>
      <queryTableField id="10" name="EmployeeNumber" tableColumnId="10"/>
      <queryTableField id="11" name="EnvironmentSatisfaction" tableColumnId="11"/>
      <queryTableField id="12" name="Gender" tableColumnId="12"/>
      <queryTableField id="13" name="HourlyRate" tableColumnId="13"/>
      <queryTableField id="14" name="JobInvolvement" tableColumnId="14"/>
      <queryTableField id="15" name="JobLevel" tableColumnId="15"/>
      <queryTableField id="16" name="JobRole" tableColumnId="16"/>
      <queryTableField id="17" name="JobSatisfaction" tableColumnId="17"/>
      <queryTableField id="18" name="MaritalStatus" tableColumnId="18"/>
      <queryTableField id="19" name="MonthlyIncome" tableColumnId="19"/>
      <queryTableField id="20" name="MonthlyRate" tableColumnId="20"/>
      <queryTableField id="21" name="NumCompaniesWorked" tableColumnId="21"/>
      <queryTableField id="22" name="Over18" tableColumnId="22"/>
      <queryTableField id="23" name="OverTime" tableColumnId="23"/>
      <queryTableField id="24" name="PercentSalaryHike" tableColumnId="24"/>
      <queryTableField id="25" name="PerformanceRating" tableColumnId="25"/>
      <queryTableField id="26" name="RelationshipSatisfaction" tableColumnId="26"/>
      <queryTableField id="27" name="StandardHours" tableColumnId="27"/>
      <queryTableField id="28" name="StockOptionLevel" tableColumnId="28"/>
      <queryTableField id="29" name="TotalWorkingYears" tableColumnId="29"/>
      <queryTableField id="30" name="TrainingTimesLastYear" tableColumnId="30"/>
      <queryTableField id="31" name="WorkLifeBalance" tableColumnId="31"/>
      <queryTableField id="32" name="YearsAtCompany" tableColumnId="32"/>
      <queryTableField id="33" name="YearsInCurrentRole" tableColumnId="33"/>
      <queryTableField id="34" name="YearsSinceLastPromotion" tableColumnId="34"/>
      <queryTableField id="35" name="YearsWithCurrManager" tableColumnId="3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EA8E2AD-EFF4-4D67-AA2D-FE429AED1D37}" sourceName="Department">
  <pivotTables>
    <pivotTable tabId="3" name="PivotTable8"/>
    <pivotTable tabId="3" name="PivotTable10"/>
    <pivotTable tabId="3" name="PivotTable11"/>
    <pivotTable tabId="3" name="PivotTable12"/>
    <pivotTable tabId="3" name="PivotTable13"/>
    <pivotTable tabId="3" name="PivotTable15"/>
    <pivotTable tabId="3" name="PivotTable16"/>
    <pivotTable tabId="3" name="PivotTable17"/>
    <pivotTable tabId="3" name="PivotTable18"/>
    <pivotTable tabId="3" name="PivotTable19"/>
    <pivotTable tabId="3" name="PivotTable20"/>
    <pivotTable tabId="3" name="PivotTable6"/>
    <pivotTable tabId="3" name="PivotTable7"/>
    <pivotTable tabId="3" name="PivotTable9"/>
    <pivotTable tabId="3" name="PivotTable25"/>
    <pivotTable tabId="3" name="PivotTable27"/>
    <pivotTable tabId="3" name="PivotTable21"/>
    <pivotTable tabId="3" name="PivotTable22"/>
    <pivotTable tabId="3" name="PivotTable24"/>
  </pivotTables>
  <data>
    <tabular pivotCacheId="228736642">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Field" xr10:uid="{998AEE34-A1F0-4BF1-B817-F2C05305D8DB}" sourceName="EducationField">
  <pivotTables>
    <pivotTable tabId="3" name="PivotTable8"/>
    <pivotTable tabId="3" name="PivotTable10"/>
    <pivotTable tabId="3" name="PivotTable11"/>
    <pivotTable tabId="3" name="PivotTable12"/>
    <pivotTable tabId="3" name="PivotTable13"/>
    <pivotTable tabId="3" name="PivotTable15"/>
    <pivotTable tabId="3" name="PivotTable16"/>
    <pivotTable tabId="3" name="PivotTable17"/>
    <pivotTable tabId="3" name="PivotTable18"/>
    <pivotTable tabId="3" name="PivotTable19"/>
    <pivotTable tabId="3" name="PivotTable20"/>
    <pivotTable tabId="3" name="PivotTable6"/>
    <pivotTable tabId="3" name="PivotTable7"/>
    <pivotTable tabId="3" name="PivotTable9"/>
    <pivotTable tabId="3" name="PivotTable21"/>
    <pivotTable tabId="3" name="PivotTable22"/>
    <pivotTable tabId="3" name="PivotTable24"/>
    <pivotTable tabId="3" name="PivotTable25"/>
    <pivotTable tabId="3" name="PivotTable27"/>
  </pivotTables>
  <data>
    <tabular pivotCacheId="228736642">
      <items count="6">
        <i x="5" s="1"/>
        <i x="0" s="1"/>
        <i x="3" s="1"/>
        <i x="2"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4147A58B-F60C-484F-A362-3AD2BC832F8D}" sourceName="JobRole">
  <pivotTables>
    <pivotTable tabId="3" name="PivotTable8"/>
    <pivotTable tabId="3" name="PivotTable10"/>
    <pivotTable tabId="3" name="PivotTable11"/>
    <pivotTable tabId="3" name="PivotTable12"/>
    <pivotTable tabId="3" name="PivotTable13"/>
    <pivotTable tabId="3" name="PivotTable15"/>
    <pivotTable tabId="3" name="PivotTable16"/>
    <pivotTable tabId="3" name="PivotTable17"/>
    <pivotTable tabId="3" name="PivotTable18"/>
    <pivotTable tabId="3" name="PivotTable19"/>
    <pivotTable tabId="3" name="PivotTable20"/>
    <pivotTable tabId="3" name="PivotTable6"/>
    <pivotTable tabId="3" name="PivotTable7"/>
    <pivotTable tabId="3" name="PivotTable9"/>
    <pivotTable tabId="3" name="PivotTable25"/>
    <pivotTable tabId="3" name="PivotTable27"/>
    <pivotTable tabId="3" name="PivotTable21"/>
    <pivotTable tabId="3" name="PivotTable22"/>
    <pivotTable tabId="3" name="PivotTable24"/>
  </pivotTables>
  <data>
    <tabular pivotCacheId="228736642">
      <items count="9">
        <i x="4" s="1"/>
        <i x="8" s="1"/>
        <i x="2" s="1"/>
        <i x="5" s="1"/>
        <i x="3" s="1"/>
        <i x="7" s="1"/>
        <i x="1"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F2D6F130-08BC-44AA-BE55-B75FB32B204E}" cache="Slicer_Department" caption="Department" rowHeight="247650"/>
  <slicer name="EducationField" xr10:uid="{C74E7522-DCEB-420D-B2E0-9048B0A3D63F}" cache="Slicer_EducationField" caption="EducationField" rowHeight="247650"/>
  <slicer name="JobRole" xr10:uid="{353C6254-79A9-4812-8176-517AD4298D7D}" cache="Slicer_JobRole" caption="JobRol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1EFECEF4-E24B-4C46-88B2-40D7D9F9D450}" cache="Slicer_Department" caption="Department" style="SlicerStyleLight1 2 3" rowHeight="247650"/>
  <slicer name="EducationField 1" xr10:uid="{C76120DE-020F-4A41-97EA-036D269DE577}" cache="Slicer_EducationField" caption="EducationField" startItem="1" style="SlicerStyleLight1 2 3" rowHeight="247650"/>
  <slicer name="JobRole 1" xr10:uid="{9D883775-73D5-4BE7-91F3-834BEC68C6DB}" cache="Slicer_JobRole" caption="JobRole" startItem="1" style="SlicerStyleLight1 2 3"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2" xr10:uid="{0EB216A7-39A0-4FDD-9AC0-65CE4036A558}" cache="Slicer_Department" caption="Department" style="SlicerStyleLight1 2 3" rowHeight="247650"/>
  <slicer name="EducationField 2" xr10:uid="{0DAA9972-549B-4CF8-B289-57CF2135280B}" cache="Slicer_EducationField" caption="EducationField" startItem="1" style="SlicerStyleLight1 2 3" rowHeight="247650"/>
  <slicer name="JobRole 2" xr10:uid="{188CC5B8-FBCC-4325-9250-E485D6CEB1AB}" cache="Slicer_JobRole" caption="JobRole" startItem="1" style="SlicerStyleLight1 2 3"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088EC60-885C-4F55-9B0F-CBC7D5C95F34}" name="WA_Fn_UseC__HR_Employee_Attrition" displayName="WA_Fn_UseC__HR_Employee_Attrition" ref="A1:AI1472" tableType="queryTable" totalsRowCount="1">
  <autoFilter ref="A1:AI1471" xr:uid="{9088EC60-885C-4F55-9B0F-CBC7D5C95F34}"/>
  <tableColumns count="35">
    <tableColumn id="1" xr3:uid="{F11DD3DD-02DD-4478-8B95-898C10D95243}" uniqueName="1" name="Age" queryTableFieldId="1"/>
    <tableColumn id="2" xr3:uid="{818E601A-2874-4E8E-9697-8B751B61E12D}" uniqueName="2" name="Attrition" queryTableFieldId="2" dataDxfId="593" totalsRowDxfId="592"/>
    <tableColumn id="3" xr3:uid="{A4CE53E6-CF4D-4490-9EDD-907F40A4C872}" uniqueName="3" name="BusinessTravel" queryTableFieldId="3" dataDxfId="591" totalsRowDxfId="590"/>
    <tableColumn id="4" xr3:uid="{822A4C7B-08CE-471B-BF27-3CF6D234C093}" uniqueName="4" name="DailyRate" queryTableFieldId="4"/>
    <tableColumn id="5" xr3:uid="{68DD4A32-0B63-40ED-923B-EA1295CB0B8C}" uniqueName="5" name="Department" queryTableFieldId="5" dataDxfId="589" totalsRowDxfId="588"/>
    <tableColumn id="6" xr3:uid="{FDDD4F59-37CB-4A5B-B42D-982FAC78318A}" uniqueName="6" name="DistanceFromHome" queryTableFieldId="6"/>
    <tableColumn id="7" xr3:uid="{6906392C-A465-4A1C-8FF8-B17F0AC9F74D}" uniqueName="7" name="Education" queryTableFieldId="7"/>
    <tableColumn id="8" xr3:uid="{3313E8CD-3752-462A-A0C7-C2A94D973D0D}" uniqueName="8" name="EducationField" queryTableFieldId="8" dataDxfId="587" totalsRowDxfId="586"/>
    <tableColumn id="9" xr3:uid="{9F40D5C4-76B9-4084-AE30-17573C23886C}" uniqueName="9" name="EmployeeCount" queryTableFieldId="9"/>
    <tableColumn id="10" xr3:uid="{F7B2D0FB-D3A2-413F-800F-2E2C649E8967}" uniqueName="10" name="EmployeeNumber" queryTableFieldId="10"/>
    <tableColumn id="11" xr3:uid="{634D0240-E4E8-44E8-9280-D8EC6834FD04}" uniqueName="11" name="EnvironmentSatisfaction" queryTableFieldId="11"/>
    <tableColumn id="12" xr3:uid="{DDE081EE-2F8A-4BCF-A6FC-519B705F7D19}" uniqueName="12" name="Gender" queryTableFieldId="12" dataDxfId="585" totalsRowDxfId="584"/>
    <tableColumn id="13" xr3:uid="{BC25BC9A-D309-4ED9-BEC0-0F86338ADE5F}" uniqueName="13" name="HourlyRate" queryTableFieldId="13"/>
    <tableColumn id="14" xr3:uid="{1DC3FA54-6DDC-4E9F-B98D-9C0A60FD7D51}" uniqueName="14" name="JobInvolvement" queryTableFieldId="14"/>
    <tableColumn id="15" xr3:uid="{BA708D4F-A0BC-47D5-B520-D7A1D53B265B}" uniqueName="15" name="JobLevel" queryTableFieldId="15"/>
    <tableColumn id="16" xr3:uid="{650F49E6-5FE2-4797-AAF2-6DB5ECD897E8}" uniqueName="16" name="JobRole" queryTableFieldId="16" dataDxfId="583" totalsRowDxfId="582"/>
    <tableColumn id="17" xr3:uid="{60CA94D4-BD94-4691-B11B-7BB63064A90D}" uniqueName="17" name="JobSatisfaction" queryTableFieldId="17"/>
    <tableColumn id="18" xr3:uid="{EDE83606-DEE6-4D02-9575-5813DA65909C}" uniqueName="18" name="MaritalStatus" queryTableFieldId="18" dataDxfId="581" totalsRowDxfId="580"/>
    <tableColumn id="19" xr3:uid="{0FC75BB8-2B2D-4991-8B3C-7B431B42C92A}" uniqueName="19" name="MonthlyIncome" queryTableFieldId="19"/>
    <tableColumn id="20" xr3:uid="{C6D54B1E-F6D8-40BF-ACA6-7E80441E442A}" uniqueName="20" name="MonthlyRate" queryTableFieldId="20"/>
    <tableColumn id="21" xr3:uid="{B5C12ECD-9968-41DE-A86A-79188912F57E}" uniqueName="21" name="NumCompaniesWorked" queryTableFieldId="21"/>
    <tableColumn id="22" xr3:uid="{2FAFCE3B-713C-4C79-A995-C6FE5C3D6DDD}" uniqueName="22" name="Over18" queryTableFieldId="22" dataDxfId="579" totalsRowDxfId="578"/>
    <tableColumn id="23" xr3:uid="{034E401F-8CA7-4624-A408-5E93C3518C03}" uniqueName="23" name="OverTime" queryTableFieldId="23" dataDxfId="577" totalsRowDxfId="576"/>
    <tableColumn id="24" xr3:uid="{2BFAF9C3-E4AB-4934-8731-96BF3993BCB9}" uniqueName="24" name="PercentSalaryHike" queryTableFieldId="24"/>
    <tableColumn id="25" xr3:uid="{37E847CF-7FE2-4615-828E-A711A3B13F80}" uniqueName="25" name="PerformanceRating" queryTableFieldId="25"/>
    <tableColumn id="26" xr3:uid="{CD16CC12-92BD-4281-A579-73F2070E019B}" uniqueName="26" name="RelationshipSatisfaction" queryTableFieldId="26"/>
    <tableColumn id="27" xr3:uid="{785F289C-58FC-45C0-A8A5-E5636357354E}" uniqueName="27" name="StandardHours" queryTableFieldId="27"/>
    <tableColumn id="28" xr3:uid="{676F589C-2965-41B8-9148-89DEA434EC01}" uniqueName="28" name="StockOptionLevel" queryTableFieldId="28"/>
    <tableColumn id="29" xr3:uid="{E9FFE5CF-879E-4389-B536-E80B378421C3}" uniqueName="29" name="TotalWorkingYears" queryTableFieldId="29"/>
    <tableColumn id="30" xr3:uid="{A5A63559-9FC6-4CC8-9C6B-9584CD9A5B88}" uniqueName="30" name="TrainingTimesLastYear" queryTableFieldId="30"/>
    <tableColumn id="31" xr3:uid="{A4F7A4BA-819E-4C1C-BF6E-13319C34B95D}" uniqueName="31" name="WorkLifeBalance" queryTableFieldId="31"/>
    <tableColumn id="32" xr3:uid="{EB7063F7-8823-4B5A-A584-D3BD9D253883}" uniqueName="32" name="YearsAtCompany" queryTableFieldId="32"/>
    <tableColumn id="33" xr3:uid="{F13EE412-2C3A-4F4B-9E0D-97B55717DF06}" uniqueName="33" name="YearsInCurrentRole" queryTableFieldId="33"/>
    <tableColumn id="34" xr3:uid="{DE484101-D8F3-4008-97B7-99FE15C6726A}" uniqueName="34" name="YearsSinceLastPromotion" queryTableFieldId="34"/>
    <tableColumn id="35" xr3:uid="{4A088B2C-348D-4E8E-8580-741AA5D643E2}" uniqueName="35" name="YearsWithCurrManager" queryTableFieldId="3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microsoft.com/office/2007/relationships/slicer" Target="../slicers/slicer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595A7-4A8E-44A1-AF78-C39029397E3F}">
  <dimension ref="A1:AI1471"/>
  <sheetViews>
    <sheetView topLeftCell="A1429" workbookViewId="0">
      <selection activeCell="F1429" sqref="F1429"/>
    </sheetView>
  </sheetViews>
  <sheetFormatPr defaultRowHeight="14.4" x14ac:dyDescent="0.3"/>
  <cols>
    <col min="1" max="1" width="6.21875" bestFit="1" customWidth="1"/>
    <col min="2" max="2" width="10.109375" bestFit="1" customWidth="1"/>
    <col min="3" max="3" width="15.6640625" bestFit="1" customWidth="1"/>
    <col min="4" max="4" width="11.21875" bestFit="1" customWidth="1"/>
    <col min="5" max="5" width="21.5546875" bestFit="1" customWidth="1"/>
    <col min="6" max="6" width="20.109375" bestFit="1" customWidth="1"/>
    <col min="7" max="7" width="11.5546875" bestFit="1" customWidth="1"/>
    <col min="8" max="8" width="16" bestFit="1" customWidth="1"/>
    <col min="9" max="9" width="16.44140625" bestFit="1" customWidth="1"/>
    <col min="10" max="10" width="18.33203125" bestFit="1" customWidth="1"/>
    <col min="11" max="11" width="24" bestFit="1" customWidth="1"/>
    <col min="12" max="12" width="9.33203125" bestFit="1" customWidth="1"/>
    <col min="13" max="13" width="12.44140625" bestFit="1" customWidth="1"/>
    <col min="14" max="14" width="16.33203125" bestFit="1" customWidth="1"/>
    <col min="15" max="15" width="10.33203125" bestFit="1" customWidth="1"/>
    <col min="16" max="16" width="22.77734375" bestFit="1" customWidth="1"/>
    <col min="17" max="17" width="16.109375" bestFit="1" customWidth="1"/>
    <col min="18" max="18" width="14.44140625" bestFit="1" customWidth="1"/>
    <col min="19" max="19" width="16.109375" bestFit="1" customWidth="1"/>
    <col min="20" max="20" width="13.5546875" bestFit="1" customWidth="1"/>
    <col min="21" max="21" width="23.33203125" bestFit="1" customWidth="1"/>
    <col min="22" max="22" width="9.109375" bestFit="1" customWidth="1"/>
    <col min="23" max="23" width="11.21875" bestFit="1" customWidth="1"/>
    <col min="24" max="24" width="18.88671875" bestFit="1" customWidth="1"/>
    <col min="25" max="25" width="19.21875" bestFit="1" customWidth="1"/>
    <col min="26" max="26" width="24" bestFit="1" customWidth="1"/>
    <col min="27" max="27" width="15.88671875" bestFit="1" customWidth="1"/>
    <col min="28" max="28" width="18.109375" bestFit="1" customWidth="1"/>
    <col min="29" max="29" width="18.77734375" bestFit="1" customWidth="1"/>
    <col min="30" max="30" width="22.109375" bestFit="1" customWidth="1"/>
    <col min="31" max="31" width="17.33203125" bestFit="1" customWidth="1"/>
    <col min="32" max="32" width="17.5546875" bestFit="1" customWidth="1"/>
    <col min="33" max="33" width="19.44140625" bestFit="1" customWidth="1"/>
    <col min="34" max="34" width="24.88671875" bestFit="1" customWidth="1"/>
    <col min="35" max="35" width="22.44140625" bestFit="1" customWidth="1"/>
  </cols>
  <sheetData>
    <row r="1" spans="1:3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row>
    <row r="3" spans="1:35" x14ac:dyDescent="0.3">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row>
    <row r="4" spans="1:35" x14ac:dyDescent="0.3">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row>
    <row r="5" spans="1:35" x14ac:dyDescent="0.3">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row>
    <row r="6" spans="1:35" x14ac:dyDescent="0.3">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row>
    <row r="7" spans="1:35" x14ac:dyDescent="0.3">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row>
    <row r="8" spans="1:35" x14ac:dyDescent="0.3">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row>
    <row r="9" spans="1:35" x14ac:dyDescent="0.3">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row>
    <row r="10" spans="1:35" x14ac:dyDescent="0.3">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row>
    <row r="11" spans="1:35" x14ac:dyDescent="0.3">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row>
    <row r="12" spans="1:35" x14ac:dyDescent="0.3">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row>
    <row r="13" spans="1:35" x14ac:dyDescent="0.3">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row>
    <row r="14" spans="1:35" x14ac:dyDescent="0.3">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row>
    <row r="15" spans="1:35" x14ac:dyDescent="0.3">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row>
    <row r="16" spans="1:35" x14ac:dyDescent="0.3">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row>
    <row r="17" spans="1:35" x14ac:dyDescent="0.3">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row>
    <row r="18" spans="1:35" x14ac:dyDescent="0.3">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row>
    <row r="19" spans="1:35" x14ac:dyDescent="0.3">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row>
    <row r="20" spans="1:35" x14ac:dyDescent="0.3">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row>
    <row r="21" spans="1:35" x14ac:dyDescent="0.3">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row>
    <row r="22" spans="1:35" x14ac:dyDescent="0.3">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row>
    <row r="23" spans="1:35" x14ac:dyDescent="0.3">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row>
    <row r="24" spans="1:35" x14ac:dyDescent="0.3">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row>
    <row r="25" spans="1:35" x14ac:dyDescent="0.3">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row>
    <row r="26" spans="1:35" x14ac:dyDescent="0.3">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row>
    <row r="27" spans="1:35" x14ac:dyDescent="0.3">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row>
    <row r="28" spans="1:35" x14ac:dyDescent="0.3">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row>
    <row r="29" spans="1:35" x14ac:dyDescent="0.3">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row>
    <row r="30" spans="1:35" x14ac:dyDescent="0.3">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row>
    <row r="31" spans="1:35" x14ac:dyDescent="0.3">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row>
    <row r="32" spans="1:35" x14ac:dyDescent="0.3">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row>
    <row r="33" spans="1:35" x14ac:dyDescent="0.3">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row>
    <row r="34" spans="1:35" x14ac:dyDescent="0.3">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row>
    <row r="35" spans="1:35" x14ac:dyDescent="0.3">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row>
    <row r="36" spans="1:35" x14ac:dyDescent="0.3">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row>
    <row r="37" spans="1:35" x14ac:dyDescent="0.3">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row>
    <row r="38" spans="1:35" x14ac:dyDescent="0.3">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row>
    <row r="39" spans="1:35" x14ac:dyDescent="0.3">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row>
    <row r="40" spans="1:35" x14ac:dyDescent="0.3">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row>
    <row r="41" spans="1:35" x14ac:dyDescent="0.3">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row>
    <row r="42" spans="1:35" x14ac:dyDescent="0.3">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row>
    <row r="43" spans="1:35" x14ac:dyDescent="0.3">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row>
    <row r="44" spans="1:35" x14ac:dyDescent="0.3">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row>
    <row r="45" spans="1:35" x14ac:dyDescent="0.3">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row>
    <row r="46" spans="1:35" x14ac:dyDescent="0.3">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row>
    <row r="47" spans="1:35" x14ac:dyDescent="0.3">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row>
    <row r="48" spans="1:35" x14ac:dyDescent="0.3">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row>
    <row r="49" spans="1:35" x14ac:dyDescent="0.3">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row>
    <row r="50" spans="1:35" x14ac:dyDescent="0.3">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row>
    <row r="51" spans="1:35" x14ac:dyDescent="0.3">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row>
    <row r="52" spans="1:35" x14ac:dyDescent="0.3">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row>
    <row r="53" spans="1:35" x14ac:dyDescent="0.3">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row>
    <row r="54" spans="1:35" x14ac:dyDescent="0.3">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row>
    <row r="55" spans="1:35" x14ac:dyDescent="0.3">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row>
    <row r="56" spans="1:35" x14ac:dyDescent="0.3">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row>
    <row r="57" spans="1:35" x14ac:dyDescent="0.3">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row>
    <row r="58" spans="1:35" x14ac:dyDescent="0.3">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row>
    <row r="59" spans="1:35" x14ac:dyDescent="0.3">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row>
    <row r="60" spans="1:35" x14ac:dyDescent="0.3">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row>
    <row r="61" spans="1:35" x14ac:dyDescent="0.3">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row>
    <row r="62" spans="1:35" x14ac:dyDescent="0.3">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row>
    <row r="63" spans="1:35" x14ac:dyDescent="0.3">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row>
    <row r="64" spans="1:35" x14ac:dyDescent="0.3">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row>
    <row r="65" spans="1:35" x14ac:dyDescent="0.3">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row>
    <row r="66" spans="1:35" x14ac:dyDescent="0.3">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row>
    <row r="67" spans="1:35" x14ac:dyDescent="0.3">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row>
    <row r="68" spans="1:35" x14ac:dyDescent="0.3">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row>
    <row r="69" spans="1:35" x14ac:dyDescent="0.3">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row>
    <row r="70" spans="1:35" x14ac:dyDescent="0.3">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row>
    <row r="71" spans="1:35" x14ac:dyDescent="0.3">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row>
    <row r="72" spans="1:35" x14ac:dyDescent="0.3">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row>
    <row r="73" spans="1:35" x14ac:dyDescent="0.3">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row>
    <row r="74" spans="1:35" x14ac:dyDescent="0.3">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row>
    <row r="75" spans="1:35" x14ac:dyDescent="0.3">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row>
    <row r="76" spans="1:35" x14ac:dyDescent="0.3">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row>
    <row r="77" spans="1:35" x14ac:dyDescent="0.3">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row>
    <row r="78" spans="1:35" x14ac:dyDescent="0.3">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row>
    <row r="79" spans="1:35" x14ac:dyDescent="0.3">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row>
    <row r="80" spans="1:35" x14ac:dyDescent="0.3">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row>
    <row r="81" spans="1:35" x14ac:dyDescent="0.3">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row>
    <row r="82" spans="1:35" x14ac:dyDescent="0.3">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row>
    <row r="83" spans="1:35" x14ac:dyDescent="0.3">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row>
    <row r="84" spans="1:35" x14ac:dyDescent="0.3">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row>
    <row r="85" spans="1:35" x14ac:dyDescent="0.3">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row>
    <row r="86" spans="1:35" x14ac:dyDescent="0.3">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row>
    <row r="87" spans="1:35" x14ac:dyDescent="0.3">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row>
    <row r="88" spans="1:35" x14ac:dyDescent="0.3">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row>
    <row r="89" spans="1:35" x14ac:dyDescent="0.3">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row>
    <row r="90" spans="1:35" x14ac:dyDescent="0.3">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row>
    <row r="91" spans="1:35" x14ac:dyDescent="0.3">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row>
    <row r="92" spans="1:35" x14ac:dyDescent="0.3">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row>
    <row r="93" spans="1:35" x14ac:dyDescent="0.3">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row>
    <row r="94" spans="1:35" x14ac:dyDescent="0.3">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row>
    <row r="95" spans="1:35" x14ac:dyDescent="0.3">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row>
    <row r="96" spans="1:35" x14ac:dyDescent="0.3">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row>
    <row r="97" spans="1:35" x14ac:dyDescent="0.3">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row>
    <row r="98" spans="1:35" x14ac:dyDescent="0.3">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row>
    <row r="99" spans="1:35" x14ac:dyDescent="0.3">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row>
    <row r="100" spans="1:35" x14ac:dyDescent="0.3">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row>
    <row r="101" spans="1:35" x14ac:dyDescent="0.3">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row>
    <row r="102" spans="1:35" x14ac:dyDescent="0.3">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row>
    <row r="103" spans="1:35" x14ac:dyDescent="0.3">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row>
    <row r="104" spans="1:35" x14ac:dyDescent="0.3">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row>
    <row r="105" spans="1:35" x14ac:dyDescent="0.3">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row>
    <row r="106" spans="1:35" x14ac:dyDescent="0.3">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row>
    <row r="107" spans="1:35" x14ac:dyDescent="0.3">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row>
    <row r="108" spans="1:35" x14ac:dyDescent="0.3">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row>
    <row r="109" spans="1:35" x14ac:dyDescent="0.3">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row>
    <row r="110" spans="1:35" x14ac:dyDescent="0.3">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row>
    <row r="111" spans="1:35" x14ac:dyDescent="0.3">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row>
    <row r="112" spans="1:35" x14ac:dyDescent="0.3">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row>
    <row r="113" spans="1:35" x14ac:dyDescent="0.3">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row>
    <row r="114" spans="1:35" x14ac:dyDescent="0.3">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row>
    <row r="115" spans="1:35" x14ac:dyDescent="0.3">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row>
    <row r="116" spans="1:35" x14ac:dyDescent="0.3">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row>
    <row r="117" spans="1:35" x14ac:dyDescent="0.3">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row>
    <row r="118" spans="1:35" x14ac:dyDescent="0.3">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row>
    <row r="119" spans="1:35" x14ac:dyDescent="0.3">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row>
    <row r="120" spans="1:35" x14ac:dyDescent="0.3">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row>
    <row r="121" spans="1:35" x14ac:dyDescent="0.3">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row>
    <row r="122" spans="1:35" x14ac:dyDescent="0.3">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row>
    <row r="123" spans="1:35" x14ac:dyDescent="0.3">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row>
    <row r="124" spans="1:35" x14ac:dyDescent="0.3">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row>
    <row r="125" spans="1:35" x14ac:dyDescent="0.3">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row>
    <row r="126" spans="1:35" x14ac:dyDescent="0.3">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row>
    <row r="127" spans="1:35" x14ac:dyDescent="0.3">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row>
    <row r="128" spans="1:35" x14ac:dyDescent="0.3">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row>
    <row r="129" spans="1:35" x14ac:dyDescent="0.3">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row>
    <row r="130" spans="1:35" x14ac:dyDescent="0.3">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row>
    <row r="131" spans="1:35" x14ac:dyDescent="0.3">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row>
    <row r="132" spans="1:35" x14ac:dyDescent="0.3">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row>
    <row r="133" spans="1:35" x14ac:dyDescent="0.3">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row>
    <row r="134" spans="1:35" x14ac:dyDescent="0.3">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row>
    <row r="135" spans="1:35" x14ac:dyDescent="0.3">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row>
    <row r="136" spans="1:35" x14ac:dyDescent="0.3">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row>
    <row r="137" spans="1:35" x14ac:dyDescent="0.3">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row>
    <row r="138" spans="1:35" x14ac:dyDescent="0.3">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row>
    <row r="139" spans="1:35" x14ac:dyDescent="0.3">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row>
    <row r="140" spans="1:35" x14ac:dyDescent="0.3">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row>
    <row r="141" spans="1:35" x14ac:dyDescent="0.3">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row>
    <row r="142" spans="1:35" x14ac:dyDescent="0.3">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row>
    <row r="143" spans="1:35" x14ac:dyDescent="0.3">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row>
    <row r="144" spans="1:35" x14ac:dyDescent="0.3">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row>
    <row r="145" spans="1:35" x14ac:dyDescent="0.3">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row>
    <row r="146" spans="1:35" x14ac:dyDescent="0.3">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row>
    <row r="147" spans="1:35" x14ac:dyDescent="0.3">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row>
    <row r="148" spans="1:35" x14ac:dyDescent="0.3">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row>
    <row r="149" spans="1:35" x14ac:dyDescent="0.3">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row>
    <row r="150" spans="1:35" x14ac:dyDescent="0.3">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row>
    <row r="151" spans="1:35" x14ac:dyDescent="0.3">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row>
    <row r="152" spans="1:35" x14ac:dyDescent="0.3">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row>
    <row r="153" spans="1:35" x14ac:dyDescent="0.3">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row>
    <row r="154" spans="1:35" x14ac:dyDescent="0.3">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row>
    <row r="155" spans="1:35" x14ac:dyDescent="0.3">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row>
    <row r="156" spans="1:35" x14ac:dyDescent="0.3">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row>
    <row r="157" spans="1:35" x14ac:dyDescent="0.3">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row>
    <row r="158" spans="1:35" x14ac:dyDescent="0.3">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row>
    <row r="159" spans="1:35" x14ac:dyDescent="0.3">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row>
    <row r="160" spans="1:35" x14ac:dyDescent="0.3">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row>
    <row r="161" spans="1:35" x14ac:dyDescent="0.3">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row>
    <row r="162" spans="1:35" x14ac:dyDescent="0.3">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row>
    <row r="163" spans="1:35" x14ac:dyDescent="0.3">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row>
    <row r="164" spans="1:35" x14ac:dyDescent="0.3">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row>
    <row r="165" spans="1:35" x14ac:dyDescent="0.3">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row>
    <row r="166" spans="1:35" x14ac:dyDescent="0.3">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row>
    <row r="167" spans="1:35" x14ac:dyDescent="0.3">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row>
    <row r="168" spans="1:35" x14ac:dyDescent="0.3">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row>
    <row r="169" spans="1:35" x14ac:dyDescent="0.3">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row>
    <row r="170" spans="1:35" x14ac:dyDescent="0.3">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row>
    <row r="171" spans="1:35" x14ac:dyDescent="0.3">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row>
    <row r="172" spans="1:35" x14ac:dyDescent="0.3">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row>
    <row r="173" spans="1:35" x14ac:dyDescent="0.3">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row>
    <row r="174" spans="1:35" x14ac:dyDescent="0.3">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row>
    <row r="175" spans="1:35" x14ac:dyDescent="0.3">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row>
    <row r="176" spans="1:35" x14ac:dyDescent="0.3">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row>
    <row r="177" spans="1:35" x14ac:dyDescent="0.3">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row>
    <row r="178" spans="1:35" x14ac:dyDescent="0.3">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row>
    <row r="179" spans="1:35" x14ac:dyDescent="0.3">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row>
    <row r="180" spans="1:35" x14ac:dyDescent="0.3">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row>
    <row r="181" spans="1:35" x14ac:dyDescent="0.3">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row>
    <row r="182" spans="1:35" x14ac:dyDescent="0.3">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row>
    <row r="183" spans="1:35" x14ac:dyDescent="0.3">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row>
    <row r="184" spans="1:35" x14ac:dyDescent="0.3">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row>
    <row r="185" spans="1:35" x14ac:dyDescent="0.3">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row>
    <row r="186" spans="1:35" x14ac:dyDescent="0.3">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row>
    <row r="187" spans="1:35" x14ac:dyDescent="0.3">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row>
    <row r="188" spans="1:35" x14ac:dyDescent="0.3">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row>
    <row r="189" spans="1:35" x14ac:dyDescent="0.3">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row>
    <row r="190" spans="1:35" x14ac:dyDescent="0.3">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row>
    <row r="191" spans="1:35" x14ac:dyDescent="0.3">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row>
    <row r="192" spans="1:35" x14ac:dyDescent="0.3">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row>
    <row r="193" spans="1:35" x14ac:dyDescent="0.3">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row>
    <row r="194" spans="1:35" x14ac:dyDescent="0.3">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row>
    <row r="195" spans="1:35" x14ac:dyDescent="0.3">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row>
    <row r="196" spans="1:35" x14ac:dyDescent="0.3">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row>
    <row r="197" spans="1:35" x14ac:dyDescent="0.3">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row>
    <row r="198" spans="1:35" x14ac:dyDescent="0.3">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row>
    <row r="199" spans="1:35" x14ac:dyDescent="0.3">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row>
    <row r="200" spans="1:35" x14ac:dyDescent="0.3">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row>
    <row r="201" spans="1:35" x14ac:dyDescent="0.3">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row>
    <row r="202" spans="1:35" x14ac:dyDescent="0.3">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row>
    <row r="203" spans="1:35" x14ac:dyDescent="0.3">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row>
    <row r="204" spans="1:35" x14ac:dyDescent="0.3">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row>
    <row r="205" spans="1:35" x14ac:dyDescent="0.3">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row>
    <row r="206" spans="1:35" x14ac:dyDescent="0.3">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row>
    <row r="207" spans="1:35" x14ac:dyDescent="0.3">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row>
    <row r="208" spans="1:35" x14ac:dyDescent="0.3">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row>
    <row r="209" spans="1:35" x14ac:dyDescent="0.3">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row>
    <row r="210" spans="1:35" x14ac:dyDescent="0.3">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row>
    <row r="211" spans="1:35" x14ac:dyDescent="0.3">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row>
    <row r="212" spans="1:35" x14ac:dyDescent="0.3">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row>
    <row r="213" spans="1:35" x14ac:dyDescent="0.3">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row>
    <row r="214" spans="1:35" x14ac:dyDescent="0.3">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row>
    <row r="215" spans="1:35" x14ac:dyDescent="0.3">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row>
    <row r="216" spans="1:35" x14ac:dyDescent="0.3">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row>
    <row r="217" spans="1:35" x14ac:dyDescent="0.3">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row>
    <row r="218" spans="1:35" x14ac:dyDescent="0.3">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row>
    <row r="219" spans="1:35" x14ac:dyDescent="0.3">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row>
    <row r="220" spans="1:35" x14ac:dyDescent="0.3">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row>
    <row r="221" spans="1:35" x14ac:dyDescent="0.3">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row>
    <row r="222" spans="1:35" x14ac:dyDescent="0.3">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row>
    <row r="223" spans="1:35" x14ac:dyDescent="0.3">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row>
    <row r="224" spans="1:35" x14ac:dyDescent="0.3">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row>
    <row r="225" spans="1:35" x14ac:dyDescent="0.3">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row>
    <row r="226" spans="1:35" x14ac:dyDescent="0.3">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row>
    <row r="227" spans="1:35" x14ac:dyDescent="0.3">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row>
    <row r="228" spans="1:35" x14ac:dyDescent="0.3">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row>
    <row r="229" spans="1:35" x14ac:dyDescent="0.3">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row>
    <row r="230" spans="1:35" x14ac:dyDescent="0.3">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row>
    <row r="231" spans="1:35" x14ac:dyDescent="0.3">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row>
    <row r="232" spans="1:35" x14ac:dyDescent="0.3">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row>
    <row r="233" spans="1:35" x14ac:dyDescent="0.3">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row>
    <row r="234" spans="1:35" x14ac:dyDescent="0.3">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row>
    <row r="235" spans="1:35" x14ac:dyDescent="0.3">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row>
    <row r="236" spans="1:35" x14ac:dyDescent="0.3">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row>
    <row r="237" spans="1:35" x14ac:dyDescent="0.3">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row>
    <row r="238" spans="1:35" x14ac:dyDescent="0.3">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row>
    <row r="239" spans="1:35" x14ac:dyDescent="0.3">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row>
    <row r="240" spans="1:35" x14ac:dyDescent="0.3">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row>
    <row r="241" spans="1:35" x14ac:dyDescent="0.3">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row>
    <row r="242" spans="1:35" x14ac:dyDescent="0.3">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row>
    <row r="243" spans="1:35" x14ac:dyDescent="0.3">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row>
    <row r="244" spans="1:35" x14ac:dyDescent="0.3">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row>
    <row r="245" spans="1:35" x14ac:dyDescent="0.3">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row>
    <row r="246" spans="1:35" x14ac:dyDescent="0.3">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row>
    <row r="247" spans="1:35" x14ac:dyDescent="0.3">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row>
    <row r="248" spans="1:35" x14ac:dyDescent="0.3">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row>
    <row r="249" spans="1:35" x14ac:dyDescent="0.3">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row>
    <row r="250" spans="1:35" x14ac:dyDescent="0.3">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row>
    <row r="251" spans="1:35" x14ac:dyDescent="0.3">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row>
    <row r="252" spans="1:35" x14ac:dyDescent="0.3">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row>
    <row r="253" spans="1:35" x14ac:dyDescent="0.3">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row>
    <row r="254" spans="1:35" x14ac:dyDescent="0.3">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row>
    <row r="255" spans="1:35" x14ac:dyDescent="0.3">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row>
    <row r="256" spans="1:35" x14ac:dyDescent="0.3">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row>
    <row r="257" spans="1:35" x14ac:dyDescent="0.3">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row>
    <row r="258" spans="1:35" x14ac:dyDescent="0.3">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row>
    <row r="259" spans="1:35" x14ac:dyDescent="0.3">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row>
    <row r="260" spans="1:35" x14ac:dyDescent="0.3">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row>
    <row r="261" spans="1:35" x14ac:dyDescent="0.3">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row>
    <row r="262" spans="1:35" x14ac:dyDescent="0.3">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row>
    <row r="263" spans="1:35" x14ac:dyDescent="0.3">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row>
    <row r="264" spans="1:35" x14ac:dyDescent="0.3">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row>
    <row r="265" spans="1:35" x14ac:dyDescent="0.3">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row>
    <row r="266" spans="1:35" x14ac:dyDescent="0.3">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row>
    <row r="267" spans="1:35" x14ac:dyDescent="0.3">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row>
    <row r="268" spans="1:35" x14ac:dyDescent="0.3">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row>
    <row r="269" spans="1:35" x14ac:dyDescent="0.3">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row>
    <row r="270" spans="1:35" x14ac:dyDescent="0.3">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row>
    <row r="271" spans="1:35" x14ac:dyDescent="0.3">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row>
    <row r="272" spans="1:35" x14ac:dyDescent="0.3">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row>
    <row r="273" spans="1:35" x14ac:dyDescent="0.3">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row>
    <row r="274" spans="1:35" x14ac:dyDescent="0.3">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row>
    <row r="275" spans="1:35" x14ac:dyDescent="0.3">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row>
    <row r="276" spans="1:35" x14ac:dyDescent="0.3">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row>
    <row r="277" spans="1:35" x14ac:dyDescent="0.3">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row>
    <row r="278" spans="1:35" x14ac:dyDescent="0.3">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row>
    <row r="279" spans="1:35" x14ac:dyDescent="0.3">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row>
    <row r="280" spans="1:35" x14ac:dyDescent="0.3">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row>
    <row r="281" spans="1:35" x14ac:dyDescent="0.3">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row>
    <row r="282" spans="1:35" x14ac:dyDescent="0.3">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row>
    <row r="283" spans="1:35" x14ac:dyDescent="0.3">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row>
    <row r="284" spans="1:35" x14ac:dyDescent="0.3">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row>
    <row r="285" spans="1:35" x14ac:dyDescent="0.3">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row>
    <row r="286" spans="1:35" x14ac:dyDescent="0.3">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row>
    <row r="287" spans="1:35" x14ac:dyDescent="0.3">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row>
    <row r="288" spans="1:35" x14ac:dyDescent="0.3">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row>
    <row r="289" spans="1:35" x14ac:dyDescent="0.3">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row>
    <row r="290" spans="1:35" x14ac:dyDescent="0.3">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row>
    <row r="291" spans="1:35" x14ac:dyDescent="0.3">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row>
    <row r="292" spans="1:35" x14ac:dyDescent="0.3">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row>
    <row r="293" spans="1:35" x14ac:dyDescent="0.3">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row>
    <row r="294" spans="1:35" x14ac:dyDescent="0.3">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row>
    <row r="295" spans="1:35" x14ac:dyDescent="0.3">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row>
    <row r="296" spans="1:35" x14ac:dyDescent="0.3">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row>
    <row r="297" spans="1:35" x14ac:dyDescent="0.3">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row>
    <row r="298" spans="1:35" x14ac:dyDescent="0.3">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row>
    <row r="299" spans="1:35" x14ac:dyDescent="0.3">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row>
    <row r="300" spans="1:35" x14ac:dyDescent="0.3">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row>
    <row r="301" spans="1:35" x14ac:dyDescent="0.3">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row>
    <row r="302" spans="1:35" x14ac:dyDescent="0.3">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row>
    <row r="303" spans="1:35" x14ac:dyDescent="0.3">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row>
    <row r="304" spans="1:35" x14ac:dyDescent="0.3">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row>
    <row r="305" spans="1:35" x14ac:dyDescent="0.3">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row>
    <row r="306" spans="1:35" x14ac:dyDescent="0.3">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row>
    <row r="307" spans="1:35" x14ac:dyDescent="0.3">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row>
    <row r="308" spans="1:35" x14ac:dyDescent="0.3">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row>
    <row r="309" spans="1:35" x14ac:dyDescent="0.3">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row>
    <row r="310" spans="1:35" x14ac:dyDescent="0.3">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row>
    <row r="311" spans="1:35" x14ac:dyDescent="0.3">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row>
    <row r="312" spans="1:35" x14ac:dyDescent="0.3">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row>
    <row r="313" spans="1:35" x14ac:dyDescent="0.3">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row>
    <row r="314" spans="1:35" x14ac:dyDescent="0.3">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row>
    <row r="315" spans="1:35" x14ac:dyDescent="0.3">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row>
    <row r="316" spans="1:35" x14ac:dyDescent="0.3">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row>
    <row r="317" spans="1:35" x14ac:dyDescent="0.3">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row>
    <row r="318" spans="1:35" x14ac:dyDescent="0.3">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row>
    <row r="319" spans="1:35" x14ac:dyDescent="0.3">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row>
    <row r="320" spans="1:35" x14ac:dyDescent="0.3">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row>
    <row r="321" spans="1:35" x14ac:dyDescent="0.3">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row>
    <row r="322" spans="1:35" x14ac:dyDescent="0.3">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row>
    <row r="323" spans="1:35" x14ac:dyDescent="0.3">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row>
    <row r="324" spans="1:35" x14ac:dyDescent="0.3">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row>
    <row r="325" spans="1:35" x14ac:dyDescent="0.3">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row>
    <row r="326" spans="1:35" x14ac:dyDescent="0.3">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row>
    <row r="327" spans="1:35" x14ac:dyDescent="0.3">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row>
    <row r="328" spans="1:35" x14ac:dyDescent="0.3">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row>
    <row r="329" spans="1:35" x14ac:dyDescent="0.3">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row>
    <row r="330" spans="1:35" x14ac:dyDescent="0.3">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row>
    <row r="331" spans="1:35" x14ac:dyDescent="0.3">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row>
    <row r="332" spans="1:35" x14ac:dyDescent="0.3">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row>
    <row r="333" spans="1:35" x14ac:dyDescent="0.3">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row>
    <row r="334" spans="1:35" x14ac:dyDescent="0.3">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row>
    <row r="335" spans="1:35" x14ac:dyDescent="0.3">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row>
    <row r="336" spans="1:35" x14ac:dyDescent="0.3">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row>
    <row r="337" spans="1:35" x14ac:dyDescent="0.3">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row>
    <row r="338" spans="1:35" x14ac:dyDescent="0.3">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row>
    <row r="339" spans="1:35" x14ac:dyDescent="0.3">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row>
    <row r="340" spans="1:35" x14ac:dyDescent="0.3">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row>
    <row r="341" spans="1:35" x14ac:dyDescent="0.3">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row>
    <row r="342" spans="1:35" x14ac:dyDescent="0.3">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row>
    <row r="343" spans="1:35" x14ac:dyDescent="0.3">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row>
    <row r="344" spans="1:35" x14ac:dyDescent="0.3">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row>
    <row r="345" spans="1:35" x14ac:dyDescent="0.3">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row>
    <row r="346" spans="1:35" x14ac:dyDescent="0.3">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row>
    <row r="347" spans="1:35" x14ac:dyDescent="0.3">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row>
    <row r="348" spans="1:35" x14ac:dyDescent="0.3">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row>
    <row r="349" spans="1:35" x14ac:dyDescent="0.3">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row>
    <row r="350" spans="1:35" x14ac:dyDescent="0.3">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row>
    <row r="351" spans="1:35" x14ac:dyDescent="0.3">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row>
    <row r="352" spans="1:35" x14ac:dyDescent="0.3">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row>
    <row r="353" spans="1:35" x14ac:dyDescent="0.3">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row>
    <row r="354" spans="1:35" x14ac:dyDescent="0.3">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row>
    <row r="355" spans="1:35" x14ac:dyDescent="0.3">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row>
    <row r="356" spans="1:35" x14ac:dyDescent="0.3">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row>
    <row r="357" spans="1:35" x14ac:dyDescent="0.3">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row>
    <row r="358" spans="1:35" x14ac:dyDescent="0.3">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row>
    <row r="359" spans="1:35" x14ac:dyDescent="0.3">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row>
    <row r="360" spans="1:35" x14ac:dyDescent="0.3">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row>
    <row r="361" spans="1:35" x14ac:dyDescent="0.3">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row>
    <row r="362" spans="1:35" x14ac:dyDescent="0.3">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row>
    <row r="363" spans="1:35" x14ac:dyDescent="0.3">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row>
    <row r="364" spans="1:35" x14ac:dyDescent="0.3">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row>
    <row r="365" spans="1:35" x14ac:dyDescent="0.3">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row>
    <row r="366" spans="1:35" x14ac:dyDescent="0.3">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row>
    <row r="367" spans="1:35" x14ac:dyDescent="0.3">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row>
    <row r="368" spans="1:35" x14ac:dyDescent="0.3">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row>
    <row r="369" spans="1:35" x14ac:dyDescent="0.3">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row>
    <row r="370" spans="1:35" x14ac:dyDescent="0.3">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row>
    <row r="371" spans="1:35" x14ac:dyDescent="0.3">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row>
    <row r="372" spans="1:35" x14ac:dyDescent="0.3">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row>
    <row r="373" spans="1:35" x14ac:dyDescent="0.3">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row>
    <row r="374" spans="1:35" x14ac:dyDescent="0.3">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row>
    <row r="375" spans="1:35" x14ac:dyDescent="0.3">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row>
    <row r="376" spans="1:35" x14ac:dyDescent="0.3">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row>
    <row r="377" spans="1:35" x14ac:dyDescent="0.3">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row>
    <row r="378" spans="1:35" x14ac:dyDescent="0.3">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row>
    <row r="379" spans="1:35" x14ac:dyDescent="0.3">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row>
    <row r="380" spans="1:35" x14ac:dyDescent="0.3">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row>
    <row r="381" spans="1:35" x14ac:dyDescent="0.3">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row>
    <row r="382" spans="1:35" x14ac:dyDescent="0.3">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row>
    <row r="383" spans="1:35" x14ac:dyDescent="0.3">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row>
    <row r="384" spans="1:35" x14ac:dyDescent="0.3">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row>
    <row r="385" spans="1:35" x14ac:dyDescent="0.3">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row>
    <row r="386" spans="1:35" x14ac:dyDescent="0.3">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row>
    <row r="387" spans="1:35" x14ac:dyDescent="0.3">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row>
    <row r="388" spans="1:35" x14ac:dyDescent="0.3">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row>
    <row r="389" spans="1:35" x14ac:dyDescent="0.3">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row>
    <row r="390" spans="1:35" x14ac:dyDescent="0.3">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row>
    <row r="391" spans="1:35" x14ac:dyDescent="0.3">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row>
    <row r="392" spans="1:35" x14ac:dyDescent="0.3">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row>
    <row r="393" spans="1:35" x14ac:dyDescent="0.3">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row>
    <row r="394" spans="1:35" x14ac:dyDescent="0.3">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row>
    <row r="395" spans="1:35" x14ac:dyDescent="0.3">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row>
    <row r="396" spans="1:35" x14ac:dyDescent="0.3">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row>
    <row r="397" spans="1:35" x14ac:dyDescent="0.3">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row>
    <row r="398" spans="1:35" x14ac:dyDescent="0.3">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row>
    <row r="399" spans="1:35" x14ac:dyDescent="0.3">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row>
    <row r="400" spans="1:35" x14ac:dyDescent="0.3">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row>
    <row r="401" spans="1:35" x14ac:dyDescent="0.3">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row>
    <row r="402" spans="1:35" x14ac:dyDescent="0.3">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row>
    <row r="403" spans="1:35" x14ac:dyDescent="0.3">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row>
    <row r="404" spans="1:35" x14ac:dyDescent="0.3">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row>
    <row r="405" spans="1:35" x14ac:dyDescent="0.3">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row>
    <row r="406" spans="1:35" x14ac:dyDescent="0.3">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row>
    <row r="407" spans="1:35" x14ac:dyDescent="0.3">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row>
    <row r="408" spans="1:35" x14ac:dyDescent="0.3">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row>
    <row r="409" spans="1:35" x14ac:dyDescent="0.3">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row>
    <row r="410" spans="1:35" x14ac:dyDescent="0.3">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row>
    <row r="411" spans="1:35" x14ac:dyDescent="0.3">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row>
    <row r="412" spans="1:35" x14ac:dyDescent="0.3">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row>
    <row r="413" spans="1:35" x14ac:dyDescent="0.3">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row>
    <row r="414" spans="1:35" x14ac:dyDescent="0.3">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row>
    <row r="415" spans="1:35" x14ac:dyDescent="0.3">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row>
    <row r="416" spans="1:35" x14ac:dyDescent="0.3">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row>
    <row r="417" spans="1:35" x14ac:dyDescent="0.3">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row>
    <row r="418" spans="1:35" x14ac:dyDescent="0.3">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row>
    <row r="419" spans="1:35" x14ac:dyDescent="0.3">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row>
    <row r="420" spans="1:35" x14ac:dyDescent="0.3">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row>
    <row r="421" spans="1:35" x14ac:dyDescent="0.3">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row>
    <row r="422" spans="1:35" x14ac:dyDescent="0.3">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row>
    <row r="423" spans="1:35" x14ac:dyDescent="0.3">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row>
    <row r="424" spans="1:35" x14ac:dyDescent="0.3">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row>
    <row r="425" spans="1:35" x14ac:dyDescent="0.3">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row>
    <row r="426" spans="1:35" x14ac:dyDescent="0.3">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row>
    <row r="427" spans="1:35" x14ac:dyDescent="0.3">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row>
    <row r="428" spans="1:35" x14ac:dyDescent="0.3">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row>
    <row r="429" spans="1:35" x14ac:dyDescent="0.3">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row>
    <row r="430" spans="1:35" x14ac:dyDescent="0.3">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row>
    <row r="431" spans="1:35" x14ac:dyDescent="0.3">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row>
    <row r="432" spans="1:35" x14ac:dyDescent="0.3">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row>
    <row r="433" spans="1:35" x14ac:dyDescent="0.3">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row>
    <row r="434" spans="1:35" x14ac:dyDescent="0.3">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row>
    <row r="435" spans="1:35" x14ac:dyDescent="0.3">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row>
    <row r="436" spans="1:35" x14ac:dyDescent="0.3">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row>
    <row r="437" spans="1:35" x14ac:dyDescent="0.3">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row>
    <row r="438" spans="1:35" x14ac:dyDescent="0.3">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row>
    <row r="439" spans="1:35" x14ac:dyDescent="0.3">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row>
    <row r="440" spans="1:35" x14ac:dyDescent="0.3">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row>
    <row r="441" spans="1:35" x14ac:dyDescent="0.3">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row>
    <row r="442" spans="1:35" x14ac:dyDescent="0.3">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row>
    <row r="443" spans="1:35" x14ac:dyDescent="0.3">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row>
    <row r="444" spans="1:35" x14ac:dyDescent="0.3">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row>
    <row r="445" spans="1:35" x14ac:dyDescent="0.3">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row>
    <row r="446" spans="1:35" x14ac:dyDescent="0.3">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row>
    <row r="447" spans="1:35" x14ac:dyDescent="0.3">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row>
    <row r="448" spans="1:35" x14ac:dyDescent="0.3">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row>
    <row r="449" spans="1:35" x14ac:dyDescent="0.3">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row>
    <row r="450" spans="1:35" x14ac:dyDescent="0.3">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row>
    <row r="451" spans="1:35" x14ac:dyDescent="0.3">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row>
    <row r="452" spans="1:35" x14ac:dyDescent="0.3">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row>
    <row r="453" spans="1:35" x14ac:dyDescent="0.3">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row>
    <row r="454" spans="1:35" x14ac:dyDescent="0.3">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row>
    <row r="455" spans="1:35" x14ac:dyDescent="0.3">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row>
    <row r="456" spans="1:35" x14ac:dyDescent="0.3">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row>
    <row r="457" spans="1:35" x14ac:dyDescent="0.3">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row>
    <row r="458" spans="1:35" x14ac:dyDescent="0.3">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row>
    <row r="459" spans="1:35" x14ac:dyDescent="0.3">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row>
    <row r="460" spans="1:35" x14ac:dyDescent="0.3">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row>
    <row r="461" spans="1:35" x14ac:dyDescent="0.3">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row>
    <row r="462" spans="1:35" x14ac:dyDescent="0.3">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row>
    <row r="463" spans="1:35" x14ac:dyDescent="0.3">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row>
    <row r="464" spans="1:35" x14ac:dyDescent="0.3">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row>
    <row r="465" spans="1:35" x14ac:dyDescent="0.3">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row>
    <row r="466" spans="1:35" x14ac:dyDescent="0.3">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row>
    <row r="467" spans="1:35" x14ac:dyDescent="0.3">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row>
    <row r="468" spans="1:35" x14ac:dyDescent="0.3">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row>
    <row r="469" spans="1:35" x14ac:dyDescent="0.3">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row>
    <row r="470" spans="1:35" x14ac:dyDescent="0.3">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row>
    <row r="471" spans="1:35" x14ac:dyDescent="0.3">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row>
    <row r="472" spans="1:35" x14ac:dyDescent="0.3">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row>
    <row r="473" spans="1:35" x14ac:dyDescent="0.3">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row>
    <row r="474" spans="1:35" x14ac:dyDescent="0.3">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row>
    <row r="475" spans="1:35" x14ac:dyDescent="0.3">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row>
    <row r="476" spans="1:35" x14ac:dyDescent="0.3">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row>
    <row r="477" spans="1:35" x14ac:dyDescent="0.3">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row>
    <row r="478" spans="1:35" x14ac:dyDescent="0.3">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row>
    <row r="479" spans="1:35" x14ac:dyDescent="0.3">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row>
    <row r="480" spans="1:35" x14ac:dyDescent="0.3">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row>
    <row r="481" spans="1:35" x14ac:dyDescent="0.3">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row>
    <row r="482" spans="1:35" x14ac:dyDescent="0.3">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row>
    <row r="483" spans="1:35" x14ac:dyDescent="0.3">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row>
    <row r="484" spans="1:35" x14ac:dyDescent="0.3">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row>
    <row r="485" spans="1:35" x14ac:dyDescent="0.3">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row>
    <row r="486" spans="1:35" x14ac:dyDescent="0.3">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row>
    <row r="487" spans="1:35" x14ac:dyDescent="0.3">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row>
    <row r="488" spans="1:35" x14ac:dyDescent="0.3">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row>
    <row r="489" spans="1:35" x14ac:dyDescent="0.3">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row>
    <row r="490" spans="1:35" x14ac:dyDescent="0.3">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row>
    <row r="491" spans="1:35" x14ac:dyDescent="0.3">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row>
    <row r="492" spans="1:35" x14ac:dyDescent="0.3">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row>
    <row r="493" spans="1:35" x14ac:dyDescent="0.3">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row>
    <row r="494" spans="1:35" x14ac:dyDescent="0.3">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row>
    <row r="495" spans="1:35" x14ac:dyDescent="0.3">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row>
    <row r="496" spans="1:35" x14ac:dyDescent="0.3">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row>
    <row r="497" spans="1:35" x14ac:dyDescent="0.3">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row>
    <row r="498" spans="1:35" x14ac:dyDescent="0.3">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row>
    <row r="499" spans="1:35" x14ac:dyDescent="0.3">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row>
    <row r="500" spans="1:35" x14ac:dyDescent="0.3">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row>
    <row r="501" spans="1:35" x14ac:dyDescent="0.3">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row>
    <row r="502" spans="1:35" x14ac:dyDescent="0.3">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row>
    <row r="503" spans="1:35" x14ac:dyDescent="0.3">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row>
    <row r="504" spans="1:35" x14ac:dyDescent="0.3">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row>
    <row r="505" spans="1:35" x14ac:dyDescent="0.3">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row>
    <row r="506" spans="1:35" x14ac:dyDescent="0.3">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row>
    <row r="507" spans="1:35" x14ac:dyDescent="0.3">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row>
    <row r="508" spans="1:35" x14ac:dyDescent="0.3">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row>
    <row r="509" spans="1:35" x14ac:dyDescent="0.3">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row>
    <row r="510" spans="1:35" x14ac:dyDescent="0.3">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row>
    <row r="511" spans="1:35" x14ac:dyDescent="0.3">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row>
    <row r="512" spans="1:35" x14ac:dyDescent="0.3">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row>
    <row r="513" spans="1:35" x14ac:dyDescent="0.3">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row>
    <row r="514" spans="1:35" x14ac:dyDescent="0.3">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row>
    <row r="515" spans="1:35" x14ac:dyDescent="0.3">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row>
    <row r="516" spans="1:35" x14ac:dyDescent="0.3">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row>
    <row r="517" spans="1:35" x14ac:dyDescent="0.3">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row>
    <row r="518" spans="1:35" x14ac:dyDescent="0.3">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row>
    <row r="519" spans="1:35" x14ac:dyDescent="0.3">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row>
    <row r="520" spans="1:35" x14ac:dyDescent="0.3">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row>
    <row r="521" spans="1:35" x14ac:dyDescent="0.3">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row>
    <row r="522" spans="1:35" x14ac:dyDescent="0.3">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row>
    <row r="523" spans="1:35" x14ac:dyDescent="0.3">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row>
    <row r="524" spans="1:35" x14ac:dyDescent="0.3">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row>
    <row r="525" spans="1:35" x14ac:dyDescent="0.3">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row>
    <row r="526" spans="1:35" x14ac:dyDescent="0.3">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row>
    <row r="527" spans="1:35" x14ac:dyDescent="0.3">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row>
    <row r="528" spans="1:35" x14ac:dyDescent="0.3">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row>
    <row r="529" spans="1:35" x14ac:dyDescent="0.3">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row>
    <row r="530" spans="1:35" x14ac:dyDescent="0.3">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row>
    <row r="531" spans="1:35" x14ac:dyDescent="0.3">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row>
    <row r="532" spans="1:35" x14ac:dyDescent="0.3">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row>
    <row r="533" spans="1:35" x14ac:dyDescent="0.3">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row>
    <row r="534" spans="1:35" x14ac:dyDescent="0.3">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row>
    <row r="535" spans="1:35" x14ac:dyDescent="0.3">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row>
    <row r="536" spans="1:35" x14ac:dyDescent="0.3">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row>
    <row r="537" spans="1:35" x14ac:dyDescent="0.3">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row>
    <row r="538" spans="1:35" x14ac:dyDescent="0.3">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row>
    <row r="539" spans="1:35" x14ac:dyDescent="0.3">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row>
    <row r="540" spans="1:35" x14ac:dyDescent="0.3">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row>
    <row r="541" spans="1:35" x14ac:dyDescent="0.3">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row>
    <row r="542" spans="1:35" x14ac:dyDescent="0.3">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row>
    <row r="543" spans="1:35" x14ac:dyDescent="0.3">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row>
    <row r="544" spans="1:35" x14ac:dyDescent="0.3">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row>
    <row r="545" spans="1:35" x14ac:dyDescent="0.3">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row>
    <row r="546" spans="1:35" x14ac:dyDescent="0.3">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row>
    <row r="547" spans="1:35" x14ac:dyDescent="0.3">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row>
    <row r="548" spans="1:35" x14ac:dyDescent="0.3">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row>
    <row r="549" spans="1:35" x14ac:dyDescent="0.3">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row>
    <row r="550" spans="1:35" x14ac:dyDescent="0.3">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row>
    <row r="551" spans="1:35" x14ac:dyDescent="0.3">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row>
    <row r="552" spans="1:35" x14ac:dyDescent="0.3">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row>
    <row r="553" spans="1:35" x14ac:dyDescent="0.3">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row>
    <row r="554" spans="1:35" x14ac:dyDescent="0.3">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row>
    <row r="555" spans="1:35" x14ac:dyDescent="0.3">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row>
    <row r="556" spans="1:35" x14ac:dyDescent="0.3">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row>
    <row r="557" spans="1:35" x14ac:dyDescent="0.3">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row>
    <row r="558" spans="1:35" x14ac:dyDescent="0.3">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row>
    <row r="559" spans="1:35" x14ac:dyDescent="0.3">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row>
    <row r="560" spans="1:35" x14ac:dyDescent="0.3">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row>
    <row r="561" spans="1:35" x14ac:dyDescent="0.3">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row>
    <row r="562" spans="1:35" x14ac:dyDescent="0.3">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row>
    <row r="563" spans="1:35" x14ac:dyDescent="0.3">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row>
    <row r="564" spans="1:35" x14ac:dyDescent="0.3">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row>
    <row r="565" spans="1:35" x14ac:dyDescent="0.3">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row>
    <row r="566" spans="1:35" x14ac:dyDescent="0.3">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row>
    <row r="567" spans="1:35" x14ac:dyDescent="0.3">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row>
    <row r="568" spans="1:35" x14ac:dyDescent="0.3">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row>
    <row r="569" spans="1:35" x14ac:dyDescent="0.3">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row>
    <row r="570" spans="1:35" x14ac:dyDescent="0.3">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row>
    <row r="571" spans="1:35" x14ac:dyDescent="0.3">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row>
    <row r="572" spans="1:35" x14ac:dyDescent="0.3">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row>
    <row r="573" spans="1:35" x14ac:dyDescent="0.3">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row>
    <row r="574" spans="1:35" x14ac:dyDescent="0.3">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row>
    <row r="575" spans="1:35" x14ac:dyDescent="0.3">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row>
    <row r="576" spans="1:35" x14ac:dyDescent="0.3">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row>
    <row r="577" spans="1:35" x14ac:dyDescent="0.3">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row>
    <row r="578" spans="1:35" x14ac:dyDescent="0.3">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row>
    <row r="579" spans="1:35" x14ac:dyDescent="0.3">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row>
    <row r="580" spans="1:35" x14ac:dyDescent="0.3">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row>
    <row r="581" spans="1:35" x14ac:dyDescent="0.3">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row>
    <row r="582" spans="1:35" x14ac:dyDescent="0.3">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row>
    <row r="583" spans="1:35" x14ac:dyDescent="0.3">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row>
    <row r="584" spans="1:35" x14ac:dyDescent="0.3">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row>
    <row r="585" spans="1:35" x14ac:dyDescent="0.3">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row>
    <row r="586" spans="1:35" x14ac:dyDescent="0.3">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row>
    <row r="587" spans="1:35" x14ac:dyDescent="0.3">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row>
    <row r="588" spans="1:35" x14ac:dyDescent="0.3">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row>
    <row r="589" spans="1:35" x14ac:dyDescent="0.3">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row>
    <row r="590" spans="1:35" x14ac:dyDescent="0.3">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row>
    <row r="591" spans="1:35" x14ac:dyDescent="0.3">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row>
    <row r="592" spans="1:35" x14ac:dyDescent="0.3">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row>
    <row r="593" spans="1:35" x14ac:dyDescent="0.3">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row>
    <row r="594" spans="1:35" x14ac:dyDescent="0.3">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row>
    <row r="595" spans="1:35" x14ac:dyDescent="0.3">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row>
    <row r="596" spans="1:35" x14ac:dyDescent="0.3">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row>
    <row r="597" spans="1:35" x14ac:dyDescent="0.3">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row>
    <row r="598" spans="1:35" x14ac:dyDescent="0.3">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row>
    <row r="599" spans="1:35" x14ac:dyDescent="0.3">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row>
    <row r="600" spans="1:35" x14ac:dyDescent="0.3">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row>
    <row r="601" spans="1:35" x14ac:dyDescent="0.3">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row>
    <row r="602" spans="1:35" x14ac:dyDescent="0.3">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row>
    <row r="603" spans="1:35" x14ac:dyDescent="0.3">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row>
    <row r="604" spans="1:35" x14ac:dyDescent="0.3">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row>
    <row r="605" spans="1:35" x14ac:dyDescent="0.3">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row>
    <row r="606" spans="1:35" x14ac:dyDescent="0.3">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row>
    <row r="607" spans="1:35" x14ac:dyDescent="0.3">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row>
    <row r="608" spans="1:35" x14ac:dyDescent="0.3">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row>
    <row r="609" spans="1:35" x14ac:dyDescent="0.3">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row>
    <row r="610" spans="1:35" x14ac:dyDescent="0.3">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row>
    <row r="611" spans="1:35" x14ac:dyDescent="0.3">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row>
    <row r="612" spans="1:35" x14ac:dyDescent="0.3">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row>
    <row r="613" spans="1:35" x14ac:dyDescent="0.3">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row>
    <row r="614" spans="1:35" x14ac:dyDescent="0.3">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row>
    <row r="615" spans="1:35" x14ac:dyDescent="0.3">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row>
    <row r="616" spans="1:35" x14ac:dyDescent="0.3">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row>
    <row r="617" spans="1:35" x14ac:dyDescent="0.3">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row>
    <row r="618" spans="1:35" x14ac:dyDescent="0.3">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row>
    <row r="619" spans="1:35" x14ac:dyDescent="0.3">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row>
    <row r="620" spans="1:35" x14ac:dyDescent="0.3">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row>
    <row r="621" spans="1:35" x14ac:dyDescent="0.3">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row>
    <row r="622" spans="1:35" x14ac:dyDescent="0.3">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row>
    <row r="623" spans="1:35" x14ac:dyDescent="0.3">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row>
    <row r="624" spans="1:35" x14ac:dyDescent="0.3">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row>
    <row r="625" spans="1:35" x14ac:dyDescent="0.3">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row>
    <row r="626" spans="1:35" x14ac:dyDescent="0.3">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row>
    <row r="627" spans="1:35" x14ac:dyDescent="0.3">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row>
    <row r="628" spans="1:35" x14ac:dyDescent="0.3">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row>
    <row r="629" spans="1:35" x14ac:dyDescent="0.3">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row>
    <row r="630" spans="1:35" x14ac:dyDescent="0.3">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row>
    <row r="631" spans="1:35" x14ac:dyDescent="0.3">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row>
    <row r="632" spans="1:35" x14ac:dyDescent="0.3">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row>
    <row r="633" spans="1:35" x14ac:dyDescent="0.3">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row>
    <row r="634" spans="1:35" x14ac:dyDescent="0.3">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row>
    <row r="635" spans="1:35" x14ac:dyDescent="0.3">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row>
    <row r="636" spans="1:35" x14ac:dyDescent="0.3">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row>
    <row r="637" spans="1:35" x14ac:dyDescent="0.3">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row>
    <row r="638" spans="1:35" x14ac:dyDescent="0.3">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row>
    <row r="639" spans="1:35" x14ac:dyDescent="0.3">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row>
    <row r="640" spans="1:35" x14ac:dyDescent="0.3">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row>
    <row r="641" spans="1:35" x14ac:dyDescent="0.3">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row>
    <row r="642" spans="1:35" x14ac:dyDescent="0.3">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row>
    <row r="643" spans="1:35" x14ac:dyDescent="0.3">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row>
    <row r="644" spans="1:35" x14ac:dyDescent="0.3">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row>
    <row r="645" spans="1:35" x14ac:dyDescent="0.3">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row>
    <row r="646" spans="1:35" x14ac:dyDescent="0.3">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row>
    <row r="647" spans="1:35" x14ac:dyDescent="0.3">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row>
    <row r="648" spans="1:35" x14ac:dyDescent="0.3">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row>
    <row r="649" spans="1:35" x14ac:dyDescent="0.3">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row>
    <row r="650" spans="1:35" x14ac:dyDescent="0.3">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row>
    <row r="651" spans="1:35" x14ac:dyDescent="0.3">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row>
    <row r="652" spans="1:35" x14ac:dyDescent="0.3">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row>
    <row r="653" spans="1:35" x14ac:dyDescent="0.3">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row>
    <row r="654" spans="1:35" x14ac:dyDescent="0.3">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row>
    <row r="655" spans="1:35" x14ac:dyDescent="0.3">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row>
    <row r="656" spans="1:35" x14ac:dyDescent="0.3">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row>
    <row r="657" spans="1:35" x14ac:dyDescent="0.3">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row>
    <row r="658" spans="1:35" x14ac:dyDescent="0.3">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row>
    <row r="659" spans="1:35" x14ac:dyDescent="0.3">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row>
    <row r="660" spans="1:35" x14ac:dyDescent="0.3">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row>
    <row r="661" spans="1:35" x14ac:dyDescent="0.3">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row>
    <row r="662" spans="1:35" x14ac:dyDescent="0.3">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row>
    <row r="663" spans="1:35" x14ac:dyDescent="0.3">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row>
    <row r="664" spans="1:35" x14ac:dyDescent="0.3">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row>
    <row r="665" spans="1:35" x14ac:dyDescent="0.3">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row>
    <row r="666" spans="1:35" x14ac:dyDescent="0.3">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row>
    <row r="667" spans="1:35" x14ac:dyDescent="0.3">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row>
    <row r="668" spans="1:35" x14ac:dyDescent="0.3">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row>
    <row r="669" spans="1:35" x14ac:dyDescent="0.3">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row>
    <row r="670" spans="1:35" x14ac:dyDescent="0.3">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row>
    <row r="671" spans="1:35" x14ac:dyDescent="0.3">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row>
    <row r="672" spans="1:35" x14ac:dyDescent="0.3">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row>
    <row r="673" spans="1:35" x14ac:dyDescent="0.3">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row>
    <row r="674" spans="1:35" x14ac:dyDescent="0.3">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row>
    <row r="675" spans="1:35" x14ac:dyDescent="0.3">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row>
    <row r="676" spans="1:35" x14ac:dyDescent="0.3">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row>
    <row r="677" spans="1:35" x14ac:dyDescent="0.3">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row>
    <row r="678" spans="1:35" x14ac:dyDescent="0.3">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row>
    <row r="679" spans="1:35" x14ac:dyDescent="0.3">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row>
    <row r="680" spans="1:35" x14ac:dyDescent="0.3">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row>
    <row r="681" spans="1:35" x14ac:dyDescent="0.3">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row>
    <row r="682" spans="1:35" x14ac:dyDescent="0.3">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row>
    <row r="683" spans="1:35" x14ac:dyDescent="0.3">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row>
    <row r="684" spans="1:35" x14ac:dyDescent="0.3">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row>
    <row r="685" spans="1:35" x14ac:dyDescent="0.3">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row>
    <row r="686" spans="1:35" x14ac:dyDescent="0.3">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row>
    <row r="687" spans="1:35" x14ac:dyDescent="0.3">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row>
    <row r="688" spans="1:35" x14ac:dyDescent="0.3">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row>
    <row r="689" spans="1:35" x14ac:dyDescent="0.3">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row>
    <row r="690" spans="1:35" x14ac:dyDescent="0.3">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row>
    <row r="691" spans="1:35" x14ac:dyDescent="0.3">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row>
    <row r="692" spans="1:35" x14ac:dyDescent="0.3">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row>
    <row r="693" spans="1:35" x14ac:dyDescent="0.3">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row>
    <row r="694" spans="1:35" x14ac:dyDescent="0.3">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row>
    <row r="695" spans="1:35" x14ac:dyDescent="0.3">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row>
    <row r="696" spans="1:35" x14ac:dyDescent="0.3">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row>
    <row r="697" spans="1:35" x14ac:dyDescent="0.3">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row>
    <row r="698" spans="1:35" x14ac:dyDescent="0.3">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row>
    <row r="699" spans="1:35" x14ac:dyDescent="0.3">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row>
    <row r="700" spans="1:35" x14ac:dyDescent="0.3">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row>
    <row r="701" spans="1:35" x14ac:dyDescent="0.3">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row>
    <row r="702" spans="1:35" x14ac:dyDescent="0.3">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row>
    <row r="703" spans="1:35" x14ac:dyDescent="0.3">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row>
    <row r="704" spans="1:35" x14ac:dyDescent="0.3">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row>
    <row r="705" spans="1:35" x14ac:dyDescent="0.3">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row>
    <row r="706" spans="1:35" x14ac:dyDescent="0.3">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row>
    <row r="707" spans="1:35" x14ac:dyDescent="0.3">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row>
    <row r="708" spans="1:35" x14ac:dyDescent="0.3">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row>
    <row r="709" spans="1:35" x14ac:dyDescent="0.3">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row>
    <row r="710" spans="1:35" x14ac:dyDescent="0.3">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row>
    <row r="711" spans="1:35" x14ac:dyDescent="0.3">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row>
    <row r="712" spans="1:35" x14ac:dyDescent="0.3">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row>
    <row r="713" spans="1:35" x14ac:dyDescent="0.3">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row>
    <row r="714" spans="1:35" x14ac:dyDescent="0.3">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row>
    <row r="715" spans="1:35" x14ac:dyDescent="0.3">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row>
    <row r="716" spans="1:35" x14ac:dyDescent="0.3">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row>
    <row r="717" spans="1:35" x14ac:dyDescent="0.3">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row>
    <row r="718" spans="1:35" x14ac:dyDescent="0.3">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row>
    <row r="719" spans="1:35" x14ac:dyDescent="0.3">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row>
    <row r="720" spans="1:35" x14ac:dyDescent="0.3">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row>
    <row r="721" spans="1:35" x14ac:dyDescent="0.3">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row>
    <row r="722" spans="1:35" x14ac:dyDescent="0.3">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row>
    <row r="723" spans="1:35" x14ac:dyDescent="0.3">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row>
    <row r="724" spans="1:35" x14ac:dyDescent="0.3">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row>
    <row r="725" spans="1:35" x14ac:dyDescent="0.3">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row>
    <row r="726" spans="1:35" x14ac:dyDescent="0.3">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row>
    <row r="727" spans="1:35" x14ac:dyDescent="0.3">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row>
    <row r="728" spans="1:35" x14ac:dyDescent="0.3">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row>
    <row r="729" spans="1:35" x14ac:dyDescent="0.3">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row>
    <row r="730" spans="1:35" x14ac:dyDescent="0.3">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row>
    <row r="731" spans="1:35" x14ac:dyDescent="0.3">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row>
    <row r="732" spans="1:35" x14ac:dyDescent="0.3">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row>
    <row r="733" spans="1:35" x14ac:dyDescent="0.3">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row>
    <row r="734" spans="1:35" x14ac:dyDescent="0.3">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row>
    <row r="735" spans="1:35" x14ac:dyDescent="0.3">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row>
    <row r="736" spans="1:35" x14ac:dyDescent="0.3">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row>
    <row r="737" spans="1:35" x14ac:dyDescent="0.3">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row>
    <row r="738" spans="1:35" x14ac:dyDescent="0.3">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row>
    <row r="739" spans="1:35" x14ac:dyDescent="0.3">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row>
    <row r="740" spans="1:35" x14ac:dyDescent="0.3">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row>
    <row r="741" spans="1:35" x14ac:dyDescent="0.3">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row>
    <row r="742" spans="1:35" x14ac:dyDescent="0.3">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row>
    <row r="743" spans="1:35" x14ac:dyDescent="0.3">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row>
    <row r="744" spans="1:35" x14ac:dyDescent="0.3">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row>
    <row r="745" spans="1:35" x14ac:dyDescent="0.3">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row>
    <row r="746" spans="1:35" x14ac:dyDescent="0.3">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row>
    <row r="747" spans="1:35" x14ac:dyDescent="0.3">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row>
    <row r="748" spans="1:35" x14ac:dyDescent="0.3">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row>
    <row r="749" spans="1:35" x14ac:dyDescent="0.3">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row>
    <row r="750" spans="1:35" x14ac:dyDescent="0.3">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row>
    <row r="751" spans="1:35" x14ac:dyDescent="0.3">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row>
    <row r="752" spans="1:35" x14ac:dyDescent="0.3">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row>
    <row r="753" spans="1:35" x14ac:dyDescent="0.3">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row>
    <row r="754" spans="1:35" x14ac:dyDescent="0.3">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row>
    <row r="755" spans="1:35" x14ac:dyDescent="0.3">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row>
    <row r="756" spans="1:35" x14ac:dyDescent="0.3">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row>
    <row r="757" spans="1:35" x14ac:dyDescent="0.3">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row>
    <row r="758" spans="1:35" x14ac:dyDescent="0.3">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row>
    <row r="759" spans="1:35" x14ac:dyDescent="0.3">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row>
    <row r="760" spans="1:35" x14ac:dyDescent="0.3">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row>
    <row r="761" spans="1:35" x14ac:dyDescent="0.3">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row>
    <row r="762" spans="1:35" x14ac:dyDescent="0.3">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row>
    <row r="763" spans="1:35" x14ac:dyDescent="0.3">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row>
    <row r="764" spans="1:35" x14ac:dyDescent="0.3">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row>
    <row r="765" spans="1:35" x14ac:dyDescent="0.3">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row>
    <row r="766" spans="1:35" x14ac:dyDescent="0.3">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row>
    <row r="767" spans="1:35" x14ac:dyDescent="0.3">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row>
    <row r="768" spans="1:35" x14ac:dyDescent="0.3">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row>
    <row r="769" spans="1:35" x14ac:dyDescent="0.3">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row>
    <row r="770" spans="1:35" x14ac:dyDescent="0.3">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row>
    <row r="771" spans="1:35" x14ac:dyDescent="0.3">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row>
    <row r="772" spans="1:35" x14ac:dyDescent="0.3">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row>
    <row r="773" spans="1:35" x14ac:dyDescent="0.3">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row>
    <row r="774" spans="1:35" x14ac:dyDescent="0.3">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row>
    <row r="775" spans="1:35" x14ac:dyDescent="0.3">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row>
    <row r="776" spans="1:35" x14ac:dyDescent="0.3">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row>
    <row r="777" spans="1:35" x14ac:dyDescent="0.3">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row>
    <row r="778" spans="1:35" x14ac:dyDescent="0.3">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row>
    <row r="779" spans="1:35" x14ac:dyDescent="0.3">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row>
    <row r="780" spans="1:35" x14ac:dyDescent="0.3">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row>
    <row r="781" spans="1:35" x14ac:dyDescent="0.3">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row>
    <row r="782" spans="1:35" x14ac:dyDescent="0.3">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row>
    <row r="783" spans="1:35" x14ac:dyDescent="0.3">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row>
    <row r="784" spans="1:35" x14ac:dyDescent="0.3">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row>
    <row r="785" spans="1:35" x14ac:dyDescent="0.3">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row>
    <row r="786" spans="1:35" x14ac:dyDescent="0.3">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row>
    <row r="787" spans="1:35" x14ac:dyDescent="0.3">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row>
    <row r="788" spans="1:35" x14ac:dyDescent="0.3">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row>
    <row r="789" spans="1:35" x14ac:dyDescent="0.3">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row>
    <row r="790" spans="1:35" x14ac:dyDescent="0.3">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row>
    <row r="791" spans="1:35" x14ac:dyDescent="0.3">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row>
    <row r="792" spans="1:35" x14ac:dyDescent="0.3">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row>
    <row r="793" spans="1:35" x14ac:dyDescent="0.3">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row>
    <row r="794" spans="1:35" x14ac:dyDescent="0.3">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row>
    <row r="795" spans="1:35" x14ac:dyDescent="0.3">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row>
    <row r="796" spans="1:35" x14ac:dyDescent="0.3">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row>
    <row r="797" spans="1:35" x14ac:dyDescent="0.3">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row>
    <row r="798" spans="1:35" x14ac:dyDescent="0.3">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row>
    <row r="799" spans="1:35" x14ac:dyDescent="0.3">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row>
    <row r="800" spans="1:35" x14ac:dyDescent="0.3">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row>
    <row r="801" spans="1:35" x14ac:dyDescent="0.3">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row>
    <row r="802" spans="1:35" x14ac:dyDescent="0.3">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row>
    <row r="803" spans="1:35" x14ac:dyDescent="0.3">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row>
    <row r="804" spans="1:35" x14ac:dyDescent="0.3">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row>
    <row r="805" spans="1:35" x14ac:dyDescent="0.3">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row>
    <row r="806" spans="1:35" x14ac:dyDescent="0.3">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row>
    <row r="807" spans="1:35" x14ac:dyDescent="0.3">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row>
    <row r="808" spans="1:35" x14ac:dyDescent="0.3">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row>
    <row r="809" spans="1:35" x14ac:dyDescent="0.3">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row>
    <row r="810" spans="1:35" x14ac:dyDescent="0.3">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row>
    <row r="811" spans="1:35" x14ac:dyDescent="0.3">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row>
    <row r="812" spans="1:35" x14ac:dyDescent="0.3">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row>
    <row r="813" spans="1:35" x14ac:dyDescent="0.3">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row>
    <row r="814" spans="1:35" x14ac:dyDescent="0.3">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row>
    <row r="815" spans="1:35" x14ac:dyDescent="0.3">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row>
    <row r="816" spans="1:35" x14ac:dyDescent="0.3">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row>
    <row r="817" spans="1:35" x14ac:dyDescent="0.3">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row>
    <row r="818" spans="1:35" x14ac:dyDescent="0.3">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row>
    <row r="819" spans="1:35" x14ac:dyDescent="0.3">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row>
    <row r="820" spans="1:35" x14ac:dyDescent="0.3">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row>
    <row r="821" spans="1:35" x14ac:dyDescent="0.3">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row>
    <row r="822" spans="1:35" x14ac:dyDescent="0.3">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row>
    <row r="823" spans="1:35" x14ac:dyDescent="0.3">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row>
    <row r="824" spans="1:35" x14ac:dyDescent="0.3">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row>
    <row r="825" spans="1:35" x14ac:dyDescent="0.3">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row>
    <row r="826" spans="1:35" x14ac:dyDescent="0.3">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row>
    <row r="827" spans="1:35" x14ac:dyDescent="0.3">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row>
    <row r="828" spans="1:35" x14ac:dyDescent="0.3">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row>
    <row r="829" spans="1:35" x14ac:dyDescent="0.3">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row>
    <row r="830" spans="1:35" x14ac:dyDescent="0.3">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row>
    <row r="831" spans="1:35" x14ac:dyDescent="0.3">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row>
    <row r="832" spans="1:35" x14ac:dyDescent="0.3">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row>
    <row r="833" spans="1:35" x14ac:dyDescent="0.3">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row>
    <row r="834" spans="1:35" x14ac:dyDescent="0.3">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row>
    <row r="835" spans="1:35" x14ac:dyDescent="0.3">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row>
    <row r="836" spans="1:35" x14ac:dyDescent="0.3">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row>
    <row r="837" spans="1:35" x14ac:dyDescent="0.3">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row>
    <row r="838" spans="1:35" x14ac:dyDescent="0.3">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row>
    <row r="839" spans="1:35" x14ac:dyDescent="0.3">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row>
    <row r="840" spans="1:35" x14ac:dyDescent="0.3">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row>
    <row r="841" spans="1:35" x14ac:dyDescent="0.3">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row>
    <row r="842" spans="1:35" x14ac:dyDescent="0.3">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row>
    <row r="843" spans="1:35" x14ac:dyDescent="0.3">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row>
    <row r="844" spans="1:35" x14ac:dyDescent="0.3">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row>
    <row r="845" spans="1:35" x14ac:dyDescent="0.3">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row>
    <row r="846" spans="1:35" x14ac:dyDescent="0.3">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row>
    <row r="847" spans="1:35" x14ac:dyDescent="0.3">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row>
    <row r="848" spans="1:35" x14ac:dyDescent="0.3">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row>
    <row r="849" spans="1:35" x14ac:dyDescent="0.3">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row>
    <row r="850" spans="1:35" x14ac:dyDescent="0.3">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row>
    <row r="851" spans="1:35" x14ac:dyDescent="0.3">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row>
    <row r="852" spans="1:35" x14ac:dyDescent="0.3">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row>
    <row r="853" spans="1:35" x14ac:dyDescent="0.3">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row>
    <row r="854" spans="1:35" x14ac:dyDescent="0.3">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row>
    <row r="855" spans="1:35" x14ac:dyDescent="0.3">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row>
    <row r="856" spans="1:35" x14ac:dyDescent="0.3">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row>
    <row r="857" spans="1:35" x14ac:dyDescent="0.3">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row>
    <row r="858" spans="1:35" x14ac:dyDescent="0.3">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row>
    <row r="859" spans="1:35" x14ac:dyDescent="0.3">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row>
    <row r="860" spans="1:35" x14ac:dyDescent="0.3">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row>
    <row r="861" spans="1:35" x14ac:dyDescent="0.3">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row>
    <row r="862" spans="1:35" x14ac:dyDescent="0.3">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row>
    <row r="863" spans="1:35" x14ac:dyDescent="0.3">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row>
    <row r="864" spans="1:35" x14ac:dyDescent="0.3">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row>
    <row r="865" spans="1:35" x14ac:dyDescent="0.3">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row>
    <row r="866" spans="1:35" x14ac:dyDescent="0.3">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row>
    <row r="867" spans="1:35" x14ac:dyDescent="0.3">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row>
    <row r="868" spans="1:35" x14ac:dyDescent="0.3">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row>
    <row r="869" spans="1:35" x14ac:dyDescent="0.3">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row>
    <row r="870" spans="1:35" x14ac:dyDescent="0.3">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row>
    <row r="871" spans="1:35" x14ac:dyDescent="0.3">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row>
    <row r="872" spans="1:35" x14ac:dyDescent="0.3">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row>
    <row r="873" spans="1:35" x14ac:dyDescent="0.3">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row>
    <row r="874" spans="1:35" x14ac:dyDescent="0.3">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row>
    <row r="875" spans="1:35" x14ac:dyDescent="0.3">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row>
    <row r="876" spans="1:35" x14ac:dyDescent="0.3">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row>
    <row r="877" spans="1:35" x14ac:dyDescent="0.3">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row>
    <row r="878" spans="1:35" x14ac:dyDescent="0.3">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row>
    <row r="879" spans="1:35" x14ac:dyDescent="0.3">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row>
    <row r="880" spans="1:35" x14ac:dyDescent="0.3">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row>
    <row r="881" spans="1:35" x14ac:dyDescent="0.3">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row>
    <row r="882" spans="1:35" x14ac:dyDescent="0.3">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row>
    <row r="883" spans="1:35" x14ac:dyDescent="0.3">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row>
    <row r="884" spans="1:35" x14ac:dyDescent="0.3">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row>
    <row r="885" spans="1:35" x14ac:dyDescent="0.3">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row>
    <row r="886" spans="1:35" x14ac:dyDescent="0.3">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row>
    <row r="887" spans="1:35" x14ac:dyDescent="0.3">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row>
    <row r="888" spans="1:35" x14ac:dyDescent="0.3">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row>
    <row r="889" spans="1:35" x14ac:dyDescent="0.3">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row>
    <row r="890" spans="1:35" x14ac:dyDescent="0.3">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row>
    <row r="891" spans="1:35" x14ac:dyDescent="0.3">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row>
    <row r="892" spans="1:35" x14ac:dyDescent="0.3">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row>
    <row r="893" spans="1:35" x14ac:dyDescent="0.3">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row>
    <row r="894" spans="1:35" x14ac:dyDescent="0.3">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row>
    <row r="895" spans="1:35" x14ac:dyDescent="0.3">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row>
    <row r="896" spans="1:35" x14ac:dyDescent="0.3">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row>
    <row r="897" spans="1:35" x14ac:dyDescent="0.3">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row>
    <row r="898" spans="1:35" x14ac:dyDescent="0.3">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row>
    <row r="899" spans="1:35" x14ac:dyDescent="0.3">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row>
    <row r="900" spans="1:35" x14ac:dyDescent="0.3">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row>
    <row r="901" spans="1:35" x14ac:dyDescent="0.3">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row>
    <row r="902" spans="1:35" x14ac:dyDescent="0.3">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row>
    <row r="903" spans="1:35" x14ac:dyDescent="0.3">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row>
    <row r="904" spans="1:35" x14ac:dyDescent="0.3">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row>
    <row r="905" spans="1:35" x14ac:dyDescent="0.3">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row>
    <row r="906" spans="1:35" x14ac:dyDescent="0.3">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row>
    <row r="907" spans="1:35" x14ac:dyDescent="0.3">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row>
    <row r="908" spans="1:35" x14ac:dyDescent="0.3">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row>
    <row r="909" spans="1:35" x14ac:dyDescent="0.3">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row>
    <row r="910" spans="1:35" x14ac:dyDescent="0.3">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row>
    <row r="911" spans="1:35" x14ac:dyDescent="0.3">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row>
    <row r="912" spans="1:35" x14ac:dyDescent="0.3">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row>
    <row r="913" spans="1:35" x14ac:dyDescent="0.3">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row>
    <row r="914" spans="1:35" x14ac:dyDescent="0.3">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row>
    <row r="915" spans="1:35" x14ac:dyDescent="0.3">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row>
    <row r="916" spans="1:35" x14ac:dyDescent="0.3">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row>
    <row r="917" spans="1:35" x14ac:dyDescent="0.3">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row>
    <row r="918" spans="1:35" x14ac:dyDescent="0.3">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row>
    <row r="919" spans="1:35" x14ac:dyDescent="0.3">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row>
    <row r="920" spans="1:35" x14ac:dyDescent="0.3">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row>
    <row r="921" spans="1:35" x14ac:dyDescent="0.3">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row>
    <row r="922" spans="1:35" x14ac:dyDescent="0.3">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row>
    <row r="923" spans="1:35" x14ac:dyDescent="0.3">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row>
    <row r="924" spans="1:35" x14ac:dyDescent="0.3">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row>
    <row r="925" spans="1:35" x14ac:dyDescent="0.3">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row>
    <row r="926" spans="1:35" x14ac:dyDescent="0.3">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row>
    <row r="927" spans="1:35" x14ac:dyDescent="0.3">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row>
    <row r="928" spans="1:35" x14ac:dyDescent="0.3">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row>
    <row r="929" spans="1:35" x14ac:dyDescent="0.3">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row>
    <row r="930" spans="1:35" x14ac:dyDescent="0.3">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row>
    <row r="931" spans="1:35" x14ac:dyDescent="0.3">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row>
    <row r="932" spans="1:35" x14ac:dyDescent="0.3">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row>
    <row r="933" spans="1:35" x14ac:dyDescent="0.3">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row>
    <row r="934" spans="1:35" x14ac:dyDescent="0.3">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row>
    <row r="935" spans="1:35" x14ac:dyDescent="0.3">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row>
    <row r="936" spans="1:35" x14ac:dyDescent="0.3">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row>
    <row r="937" spans="1:35" x14ac:dyDescent="0.3">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row>
    <row r="938" spans="1:35" x14ac:dyDescent="0.3">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row>
    <row r="939" spans="1:35" x14ac:dyDescent="0.3">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row>
    <row r="940" spans="1:35" x14ac:dyDescent="0.3">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row>
    <row r="941" spans="1:35" x14ac:dyDescent="0.3">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row>
    <row r="942" spans="1:35" x14ac:dyDescent="0.3">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row>
    <row r="943" spans="1:35" x14ac:dyDescent="0.3">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row>
    <row r="944" spans="1:35" x14ac:dyDescent="0.3">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row>
    <row r="945" spans="1:35" x14ac:dyDescent="0.3">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row>
    <row r="946" spans="1:35" x14ac:dyDescent="0.3">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row>
    <row r="947" spans="1:35" x14ac:dyDescent="0.3">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row>
    <row r="948" spans="1:35" x14ac:dyDescent="0.3">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row>
    <row r="949" spans="1:35" x14ac:dyDescent="0.3">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row>
    <row r="950" spans="1:35" x14ac:dyDescent="0.3">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row>
    <row r="951" spans="1:35" x14ac:dyDescent="0.3">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row>
    <row r="952" spans="1:35" x14ac:dyDescent="0.3">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row>
    <row r="953" spans="1:35" x14ac:dyDescent="0.3">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row>
    <row r="954" spans="1:35" x14ac:dyDescent="0.3">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row>
    <row r="955" spans="1:35" x14ac:dyDescent="0.3">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row>
    <row r="956" spans="1:35" x14ac:dyDescent="0.3">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row>
    <row r="957" spans="1:35" x14ac:dyDescent="0.3">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row>
    <row r="958" spans="1:35" x14ac:dyDescent="0.3">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row>
    <row r="959" spans="1:35" x14ac:dyDescent="0.3">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row>
    <row r="960" spans="1:35" x14ac:dyDescent="0.3">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row>
    <row r="961" spans="1:35" x14ac:dyDescent="0.3">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row>
    <row r="962" spans="1:35" x14ac:dyDescent="0.3">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row>
    <row r="963" spans="1:35" x14ac:dyDescent="0.3">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row>
    <row r="964" spans="1:35" x14ac:dyDescent="0.3">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row>
    <row r="965" spans="1:35" x14ac:dyDescent="0.3">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row>
    <row r="966" spans="1:35" x14ac:dyDescent="0.3">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row>
    <row r="967" spans="1:35" x14ac:dyDescent="0.3">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row>
    <row r="968" spans="1:35" x14ac:dyDescent="0.3">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row>
    <row r="969" spans="1:35" x14ac:dyDescent="0.3">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row>
    <row r="970" spans="1:35" x14ac:dyDescent="0.3">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row>
    <row r="971" spans="1:35" x14ac:dyDescent="0.3">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row>
    <row r="972" spans="1:35" x14ac:dyDescent="0.3">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row>
    <row r="973" spans="1:35" x14ac:dyDescent="0.3">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row>
    <row r="974" spans="1:35" x14ac:dyDescent="0.3">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row>
    <row r="975" spans="1:35" x14ac:dyDescent="0.3">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row>
    <row r="976" spans="1:35" x14ac:dyDescent="0.3">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row>
    <row r="977" spans="1:35" x14ac:dyDescent="0.3">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row>
    <row r="978" spans="1:35" x14ac:dyDescent="0.3">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row>
    <row r="979" spans="1:35" x14ac:dyDescent="0.3">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row>
    <row r="980" spans="1:35" x14ac:dyDescent="0.3">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row>
    <row r="981" spans="1:35" x14ac:dyDescent="0.3">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row>
    <row r="982" spans="1:35" x14ac:dyDescent="0.3">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row>
    <row r="983" spans="1:35" x14ac:dyDescent="0.3">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row>
    <row r="984" spans="1:35" x14ac:dyDescent="0.3">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row>
    <row r="985" spans="1:35" x14ac:dyDescent="0.3">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row>
    <row r="986" spans="1:35" x14ac:dyDescent="0.3">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row>
    <row r="987" spans="1:35" x14ac:dyDescent="0.3">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row>
    <row r="988" spans="1:35" x14ac:dyDescent="0.3">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row>
    <row r="989" spans="1:35" x14ac:dyDescent="0.3">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row>
    <row r="990" spans="1:35" x14ac:dyDescent="0.3">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row>
    <row r="991" spans="1:35" x14ac:dyDescent="0.3">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row>
    <row r="992" spans="1:35" x14ac:dyDescent="0.3">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row>
    <row r="993" spans="1:35" x14ac:dyDescent="0.3">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row>
    <row r="994" spans="1:35" x14ac:dyDescent="0.3">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row>
    <row r="995" spans="1:35" x14ac:dyDescent="0.3">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row>
    <row r="996" spans="1:35" x14ac:dyDescent="0.3">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row>
    <row r="997" spans="1:35" x14ac:dyDescent="0.3">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row>
    <row r="998" spans="1:35" x14ac:dyDescent="0.3">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row>
    <row r="999" spans="1:35" x14ac:dyDescent="0.3">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row>
    <row r="1000" spans="1:35" x14ac:dyDescent="0.3">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row>
    <row r="1001" spans="1:35" x14ac:dyDescent="0.3">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row>
    <row r="1002" spans="1:35" x14ac:dyDescent="0.3">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row>
    <row r="1003" spans="1:35" x14ac:dyDescent="0.3">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row>
    <row r="1004" spans="1:35" x14ac:dyDescent="0.3">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row>
    <row r="1005" spans="1:35" x14ac:dyDescent="0.3">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row>
    <row r="1006" spans="1:35" x14ac:dyDescent="0.3">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row>
    <row r="1007" spans="1:35" x14ac:dyDescent="0.3">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row>
    <row r="1008" spans="1:35" x14ac:dyDescent="0.3">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row>
    <row r="1009" spans="1:35" x14ac:dyDescent="0.3">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row>
    <row r="1010" spans="1:35" x14ac:dyDescent="0.3">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row>
    <row r="1011" spans="1:35" x14ac:dyDescent="0.3">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row>
    <row r="1012" spans="1:35" x14ac:dyDescent="0.3">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row>
    <row r="1013" spans="1:35" x14ac:dyDescent="0.3">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row>
    <row r="1014" spans="1:35" x14ac:dyDescent="0.3">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row>
    <row r="1015" spans="1:35" x14ac:dyDescent="0.3">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row>
    <row r="1016" spans="1:35" x14ac:dyDescent="0.3">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row>
    <row r="1017" spans="1:35" x14ac:dyDescent="0.3">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row>
    <row r="1018" spans="1:35" x14ac:dyDescent="0.3">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row>
    <row r="1019" spans="1:35" x14ac:dyDescent="0.3">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row>
    <row r="1020" spans="1:35" x14ac:dyDescent="0.3">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row>
    <row r="1021" spans="1:35" x14ac:dyDescent="0.3">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row>
    <row r="1022" spans="1:35" x14ac:dyDescent="0.3">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row>
    <row r="1023" spans="1:35" x14ac:dyDescent="0.3">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row>
    <row r="1024" spans="1:35" x14ac:dyDescent="0.3">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row>
    <row r="1025" spans="1:35" x14ac:dyDescent="0.3">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row>
    <row r="1026" spans="1:35" x14ac:dyDescent="0.3">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row>
    <row r="1027" spans="1:35" x14ac:dyDescent="0.3">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row>
    <row r="1028" spans="1:35" x14ac:dyDescent="0.3">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row>
    <row r="1029" spans="1:35" x14ac:dyDescent="0.3">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row>
    <row r="1030" spans="1:35" x14ac:dyDescent="0.3">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row>
    <row r="1031" spans="1:35" x14ac:dyDescent="0.3">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row>
    <row r="1032" spans="1:35" x14ac:dyDescent="0.3">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row>
    <row r="1033" spans="1:35" x14ac:dyDescent="0.3">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row>
    <row r="1034" spans="1:35" x14ac:dyDescent="0.3">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row>
    <row r="1035" spans="1:35" x14ac:dyDescent="0.3">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row>
    <row r="1036" spans="1:35" x14ac:dyDescent="0.3">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row>
    <row r="1037" spans="1:35" x14ac:dyDescent="0.3">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row>
    <row r="1038" spans="1:35" x14ac:dyDescent="0.3">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row>
    <row r="1039" spans="1:35" x14ac:dyDescent="0.3">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row>
    <row r="1040" spans="1:35" x14ac:dyDescent="0.3">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row>
    <row r="1041" spans="1:35" x14ac:dyDescent="0.3">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row>
    <row r="1042" spans="1:35" x14ac:dyDescent="0.3">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row>
    <row r="1043" spans="1:35" x14ac:dyDescent="0.3">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row>
    <row r="1044" spans="1:35" x14ac:dyDescent="0.3">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row>
    <row r="1045" spans="1:35" x14ac:dyDescent="0.3">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row>
    <row r="1046" spans="1:35" x14ac:dyDescent="0.3">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row>
    <row r="1047" spans="1:35" x14ac:dyDescent="0.3">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row>
    <row r="1048" spans="1:35" x14ac:dyDescent="0.3">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row>
    <row r="1049" spans="1:35" x14ac:dyDescent="0.3">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row>
    <row r="1050" spans="1:35" x14ac:dyDescent="0.3">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row>
    <row r="1051" spans="1:35" x14ac:dyDescent="0.3">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row>
    <row r="1052" spans="1:35" x14ac:dyDescent="0.3">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row>
    <row r="1053" spans="1:35" x14ac:dyDescent="0.3">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row>
    <row r="1054" spans="1:35" x14ac:dyDescent="0.3">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row>
    <row r="1055" spans="1:35" x14ac:dyDescent="0.3">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row>
    <row r="1056" spans="1:35" x14ac:dyDescent="0.3">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row>
    <row r="1057" spans="1:35" x14ac:dyDescent="0.3">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row>
    <row r="1058" spans="1:35" x14ac:dyDescent="0.3">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row>
    <row r="1059" spans="1:35" x14ac:dyDescent="0.3">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row>
    <row r="1060" spans="1:35" x14ac:dyDescent="0.3">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row>
    <row r="1061" spans="1:35" x14ac:dyDescent="0.3">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row>
    <row r="1062" spans="1:35" x14ac:dyDescent="0.3">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row>
    <row r="1063" spans="1:35" x14ac:dyDescent="0.3">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row>
    <row r="1064" spans="1:35" x14ac:dyDescent="0.3">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row>
    <row r="1065" spans="1:35" x14ac:dyDescent="0.3">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row>
    <row r="1066" spans="1:35" x14ac:dyDescent="0.3">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row>
    <row r="1067" spans="1:35" x14ac:dyDescent="0.3">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row>
    <row r="1068" spans="1:35" x14ac:dyDescent="0.3">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row>
    <row r="1069" spans="1:35" x14ac:dyDescent="0.3">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row>
    <row r="1070" spans="1:35" x14ac:dyDescent="0.3">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row>
    <row r="1071" spans="1:35" x14ac:dyDescent="0.3">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row>
    <row r="1072" spans="1:35" x14ac:dyDescent="0.3">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row>
    <row r="1073" spans="1:35" x14ac:dyDescent="0.3">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row>
    <row r="1074" spans="1:35" x14ac:dyDescent="0.3">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row>
    <row r="1075" spans="1:35" x14ac:dyDescent="0.3">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row>
    <row r="1076" spans="1:35" x14ac:dyDescent="0.3">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row>
    <row r="1077" spans="1:35" x14ac:dyDescent="0.3">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row>
    <row r="1078" spans="1:35" x14ac:dyDescent="0.3">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row>
    <row r="1079" spans="1:35" x14ac:dyDescent="0.3">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row>
    <row r="1080" spans="1:35" x14ac:dyDescent="0.3">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row>
    <row r="1081" spans="1:35" x14ac:dyDescent="0.3">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row>
    <row r="1082" spans="1:35" x14ac:dyDescent="0.3">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row>
    <row r="1083" spans="1:35" x14ac:dyDescent="0.3">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row>
    <row r="1084" spans="1:35" x14ac:dyDescent="0.3">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row>
    <row r="1085" spans="1:35" x14ac:dyDescent="0.3">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row>
    <row r="1086" spans="1:35" x14ac:dyDescent="0.3">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row>
    <row r="1087" spans="1:35" x14ac:dyDescent="0.3">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row>
    <row r="1088" spans="1:35" x14ac:dyDescent="0.3">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row>
    <row r="1089" spans="1:35" x14ac:dyDescent="0.3">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row>
    <row r="1090" spans="1:35" x14ac:dyDescent="0.3">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row>
    <row r="1091" spans="1:35" x14ac:dyDescent="0.3">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row>
    <row r="1092" spans="1:35" x14ac:dyDescent="0.3">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row>
    <row r="1093" spans="1:35" x14ac:dyDescent="0.3">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row>
    <row r="1094" spans="1:35" x14ac:dyDescent="0.3">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row>
    <row r="1095" spans="1:35" x14ac:dyDescent="0.3">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row>
    <row r="1096" spans="1:35" x14ac:dyDescent="0.3">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row>
    <row r="1097" spans="1:35" x14ac:dyDescent="0.3">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row>
    <row r="1098" spans="1:35" x14ac:dyDescent="0.3">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row>
    <row r="1099" spans="1:35" x14ac:dyDescent="0.3">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row>
    <row r="1100" spans="1:35" x14ac:dyDescent="0.3">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row>
    <row r="1101" spans="1:35" x14ac:dyDescent="0.3">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row>
    <row r="1102" spans="1:35" x14ac:dyDescent="0.3">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row>
    <row r="1103" spans="1:35" x14ac:dyDescent="0.3">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row>
    <row r="1104" spans="1:35" x14ac:dyDescent="0.3">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row>
    <row r="1105" spans="1:35" x14ac:dyDescent="0.3">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row>
    <row r="1106" spans="1:35" x14ac:dyDescent="0.3">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row>
    <row r="1107" spans="1:35" x14ac:dyDescent="0.3">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row>
    <row r="1108" spans="1:35" x14ac:dyDescent="0.3">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row>
    <row r="1109" spans="1:35" x14ac:dyDescent="0.3">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row>
    <row r="1110" spans="1:35" x14ac:dyDescent="0.3">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row>
    <row r="1111" spans="1:35" x14ac:dyDescent="0.3">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row>
    <row r="1112" spans="1:35" x14ac:dyDescent="0.3">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row>
    <row r="1113" spans="1:35" x14ac:dyDescent="0.3">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row>
    <row r="1114" spans="1:35" x14ac:dyDescent="0.3">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row>
    <row r="1115" spans="1:35" x14ac:dyDescent="0.3">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row>
    <row r="1116" spans="1:35" x14ac:dyDescent="0.3">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row>
    <row r="1117" spans="1:35" x14ac:dyDescent="0.3">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row>
    <row r="1118" spans="1:35" x14ac:dyDescent="0.3">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row>
    <row r="1119" spans="1:35" x14ac:dyDescent="0.3">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row>
    <row r="1120" spans="1:35" x14ac:dyDescent="0.3">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row>
    <row r="1121" spans="1:35" x14ac:dyDescent="0.3">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row>
    <row r="1122" spans="1:35" x14ac:dyDescent="0.3">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row>
    <row r="1123" spans="1:35" x14ac:dyDescent="0.3">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row>
    <row r="1124" spans="1:35" x14ac:dyDescent="0.3">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row>
    <row r="1125" spans="1:35" x14ac:dyDescent="0.3">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row>
    <row r="1126" spans="1:35" x14ac:dyDescent="0.3">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row>
    <row r="1127" spans="1:35" x14ac:dyDescent="0.3">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row>
    <row r="1128" spans="1:35" x14ac:dyDescent="0.3">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row>
    <row r="1129" spans="1:35" x14ac:dyDescent="0.3">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row>
    <row r="1130" spans="1:35" x14ac:dyDescent="0.3">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row>
    <row r="1131" spans="1:35" x14ac:dyDescent="0.3">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row>
    <row r="1132" spans="1:35" x14ac:dyDescent="0.3">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row>
    <row r="1133" spans="1:35" x14ac:dyDescent="0.3">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row>
    <row r="1134" spans="1:35" x14ac:dyDescent="0.3">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row>
    <row r="1135" spans="1:35" x14ac:dyDescent="0.3">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row>
    <row r="1136" spans="1:35" x14ac:dyDescent="0.3">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row>
    <row r="1137" spans="1:35" x14ac:dyDescent="0.3">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row>
    <row r="1138" spans="1:35" x14ac:dyDescent="0.3">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row>
    <row r="1139" spans="1:35" x14ac:dyDescent="0.3">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row>
    <row r="1140" spans="1:35" x14ac:dyDescent="0.3">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row>
    <row r="1141" spans="1:35" x14ac:dyDescent="0.3">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row>
    <row r="1142" spans="1:35" x14ac:dyDescent="0.3">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row>
    <row r="1143" spans="1:35" x14ac:dyDescent="0.3">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row>
    <row r="1144" spans="1:35" x14ac:dyDescent="0.3">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row>
    <row r="1145" spans="1:35" x14ac:dyDescent="0.3">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row>
    <row r="1146" spans="1:35" x14ac:dyDescent="0.3">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row>
    <row r="1147" spans="1:35" x14ac:dyDescent="0.3">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row>
    <row r="1148" spans="1:35" x14ac:dyDescent="0.3">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row>
    <row r="1149" spans="1:35" x14ac:dyDescent="0.3">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row>
    <row r="1150" spans="1:35" x14ac:dyDescent="0.3">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row>
    <row r="1151" spans="1:35" x14ac:dyDescent="0.3">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row>
    <row r="1152" spans="1:35" x14ac:dyDescent="0.3">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row>
    <row r="1153" spans="1:35" x14ac:dyDescent="0.3">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row>
    <row r="1154" spans="1:35" x14ac:dyDescent="0.3">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row>
    <row r="1155" spans="1:35" x14ac:dyDescent="0.3">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row>
    <row r="1156" spans="1:35" x14ac:dyDescent="0.3">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row>
    <row r="1157" spans="1:35" x14ac:dyDescent="0.3">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row>
    <row r="1158" spans="1:35" x14ac:dyDescent="0.3">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row>
    <row r="1159" spans="1:35" x14ac:dyDescent="0.3">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row>
    <row r="1160" spans="1:35" x14ac:dyDescent="0.3">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row>
    <row r="1161" spans="1:35" x14ac:dyDescent="0.3">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row>
    <row r="1162" spans="1:35" x14ac:dyDescent="0.3">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row>
    <row r="1163" spans="1:35" x14ac:dyDescent="0.3">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row>
    <row r="1164" spans="1:35" x14ac:dyDescent="0.3">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row>
    <row r="1165" spans="1:35" x14ac:dyDescent="0.3">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row>
    <row r="1166" spans="1:35" x14ac:dyDescent="0.3">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row>
    <row r="1167" spans="1:35" x14ac:dyDescent="0.3">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row>
    <row r="1168" spans="1:35" x14ac:dyDescent="0.3">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row>
    <row r="1169" spans="1:35" x14ac:dyDescent="0.3">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row>
    <row r="1170" spans="1:35" x14ac:dyDescent="0.3">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row>
    <row r="1171" spans="1:35" x14ac:dyDescent="0.3">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row>
    <row r="1172" spans="1:35" x14ac:dyDescent="0.3">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row>
    <row r="1173" spans="1:35" x14ac:dyDescent="0.3">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row>
    <row r="1174" spans="1:35" x14ac:dyDescent="0.3">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row>
    <row r="1175" spans="1:35" x14ac:dyDescent="0.3">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row>
    <row r="1176" spans="1:35" x14ac:dyDescent="0.3">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row>
    <row r="1177" spans="1:35" x14ac:dyDescent="0.3">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row>
    <row r="1178" spans="1:35" x14ac:dyDescent="0.3">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row>
    <row r="1179" spans="1:35" x14ac:dyDescent="0.3">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row>
    <row r="1180" spans="1:35" x14ac:dyDescent="0.3">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row>
    <row r="1181" spans="1:35" x14ac:dyDescent="0.3">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row>
    <row r="1182" spans="1:35" x14ac:dyDescent="0.3">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row>
    <row r="1183" spans="1:35" x14ac:dyDescent="0.3">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row>
    <row r="1184" spans="1:35" x14ac:dyDescent="0.3">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row>
    <row r="1185" spans="1:35" x14ac:dyDescent="0.3">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row>
    <row r="1186" spans="1:35" x14ac:dyDescent="0.3">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row>
    <row r="1187" spans="1:35" x14ac:dyDescent="0.3">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row>
    <row r="1188" spans="1:35" x14ac:dyDescent="0.3">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row>
    <row r="1189" spans="1:35" x14ac:dyDescent="0.3">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row>
    <row r="1190" spans="1:35" x14ac:dyDescent="0.3">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row>
    <row r="1191" spans="1:35" x14ac:dyDescent="0.3">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row>
    <row r="1192" spans="1:35" x14ac:dyDescent="0.3">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row>
    <row r="1193" spans="1:35" x14ac:dyDescent="0.3">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row>
    <row r="1194" spans="1:35" x14ac:dyDescent="0.3">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row>
    <row r="1195" spans="1:35" x14ac:dyDescent="0.3">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row>
    <row r="1196" spans="1:35" x14ac:dyDescent="0.3">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row>
    <row r="1197" spans="1:35" x14ac:dyDescent="0.3">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row>
    <row r="1198" spans="1:35" x14ac:dyDescent="0.3">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row>
    <row r="1199" spans="1:35" x14ac:dyDescent="0.3">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row>
    <row r="1200" spans="1:35" x14ac:dyDescent="0.3">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row>
    <row r="1201" spans="1:35" x14ac:dyDescent="0.3">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row>
    <row r="1202" spans="1:35" x14ac:dyDescent="0.3">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row>
    <row r="1203" spans="1:35" x14ac:dyDescent="0.3">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row>
    <row r="1204" spans="1:35" x14ac:dyDescent="0.3">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row>
    <row r="1205" spans="1:35" x14ac:dyDescent="0.3">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row>
    <row r="1206" spans="1:35" x14ac:dyDescent="0.3">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row>
    <row r="1207" spans="1:35" x14ac:dyDescent="0.3">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row>
    <row r="1208" spans="1:35" x14ac:dyDescent="0.3">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row>
    <row r="1209" spans="1:35" x14ac:dyDescent="0.3">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row>
    <row r="1210" spans="1:35" x14ac:dyDescent="0.3">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row>
    <row r="1211" spans="1:35" x14ac:dyDescent="0.3">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row>
    <row r="1212" spans="1:35" x14ac:dyDescent="0.3">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row>
    <row r="1213" spans="1:35" x14ac:dyDescent="0.3">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row>
    <row r="1214" spans="1:35" x14ac:dyDescent="0.3">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row>
    <row r="1215" spans="1:35" x14ac:dyDescent="0.3">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row>
    <row r="1216" spans="1:35" x14ac:dyDescent="0.3">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row>
    <row r="1217" spans="1:35" x14ac:dyDescent="0.3">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row>
    <row r="1218" spans="1:35" x14ac:dyDescent="0.3">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row>
    <row r="1219" spans="1:35" x14ac:dyDescent="0.3">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row>
    <row r="1220" spans="1:35" x14ac:dyDescent="0.3">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row>
    <row r="1221" spans="1:35" x14ac:dyDescent="0.3">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row>
    <row r="1222" spans="1:35" x14ac:dyDescent="0.3">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row>
    <row r="1223" spans="1:35" x14ac:dyDescent="0.3">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row>
    <row r="1224" spans="1:35" x14ac:dyDescent="0.3">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row>
    <row r="1225" spans="1:35" x14ac:dyDescent="0.3">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row>
    <row r="1226" spans="1:35" x14ac:dyDescent="0.3">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row>
    <row r="1227" spans="1:35" x14ac:dyDescent="0.3">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row>
    <row r="1228" spans="1:35" x14ac:dyDescent="0.3">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row>
    <row r="1229" spans="1:35" x14ac:dyDescent="0.3">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row>
    <row r="1230" spans="1:35" x14ac:dyDescent="0.3">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row>
    <row r="1231" spans="1:35" x14ac:dyDescent="0.3">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row>
    <row r="1232" spans="1:35" x14ac:dyDescent="0.3">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row>
    <row r="1233" spans="1:35" x14ac:dyDescent="0.3">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row>
    <row r="1234" spans="1:35" x14ac:dyDescent="0.3">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row>
    <row r="1235" spans="1:35" x14ac:dyDescent="0.3">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row>
    <row r="1236" spans="1:35" x14ac:dyDescent="0.3">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row>
    <row r="1237" spans="1:35" x14ac:dyDescent="0.3">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row>
    <row r="1238" spans="1:35" x14ac:dyDescent="0.3">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row>
    <row r="1239" spans="1:35" x14ac:dyDescent="0.3">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row>
    <row r="1240" spans="1:35" x14ac:dyDescent="0.3">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row>
    <row r="1241" spans="1:35" x14ac:dyDescent="0.3">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row>
    <row r="1242" spans="1:35" x14ac:dyDescent="0.3">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row>
    <row r="1243" spans="1:35" x14ac:dyDescent="0.3">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row>
    <row r="1244" spans="1:35" x14ac:dyDescent="0.3">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row>
    <row r="1245" spans="1:35" x14ac:dyDescent="0.3">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row>
    <row r="1246" spans="1:35" x14ac:dyDescent="0.3">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row>
    <row r="1247" spans="1:35" x14ac:dyDescent="0.3">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row>
    <row r="1248" spans="1:35" x14ac:dyDescent="0.3">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row>
    <row r="1249" spans="1:35" x14ac:dyDescent="0.3">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row>
    <row r="1250" spans="1:35" x14ac:dyDescent="0.3">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row>
    <row r="1251" spans="1:35" x14ac:dyDescent="0.3">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row>
    <row r="1252" spans="1:35" x14ac:dyDescent="0.3">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row>
    <row r="1253" spans="1:35" x14ac:dyDescent="0.3">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row>
    <row r="1254" spans="1:35" x14ac:dyDescent="0.3">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row>
    <row r="1255" spans="1:35" x14ac:dyDescent="0.3">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row>
    <row r="1256" spans="1:35" x14ac:dyDescent="0.3">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row>
    <row r="1257" spans="1:35" x14ac:dyDescent="0.3">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row>
    <row r="1258" spans="1:35" x14ac:dyDescent="0.3">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row>
    <row r="1259" spans="1:35" x14ac:dyDescent="0.3">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row>
    <row r="1260" spans="1:35" x14ac:dyDescent="0.3">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row>
    <row r="1261" spans="1:35" x14ac:dyDescent="0.3">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row>
    <row r="1262" spans="1:35" x14ac:dyDescent="0.3">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row>
    <row r="1263" spans="1:35" x14ac:dyDescent="0.3">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row>
    <row r="1264" spans="1:35" x14ac:dyDescent="0.3">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row>
    <row r="1265" spans="1:35" x14ac:dyDescent="0.3">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row>
    <row r="1266" spans="1:35" x14ac:dyDescent="0.3">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row>
    <row r="1267" spans="1:35" x14ac:dyDescent="0.3">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row>
    <row r="1268" spans="1:35" x14ac:dyDescent="0.3">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row>
    <row r="1269" spans="1:35" x14ac:dyDescent="0.3">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row>
    <row r="1270" spans="1:35" x14ac:dyDescent="0.3">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row>
    <row r="1271" spans="1:35" x14ac:dyDescent="0.3">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row>
    <row r="1272" spans="1:35" x14ac:dyDescent="0.3">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row>
    <row r="1273" spans="1:35" x14ac:dyDescent="0.3">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row>
    <row r="1274" spans="1:35" x14ac:dyDescent="0.3">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row>
    <row r="1275" spans="1:35" x14ac:dyDescent="0.3">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row>
    <row r="1276" spans="1:35" x14ac:dyDescent="0.3">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row>
    <row r="1277" spans="1:35" x14ac:dyDescent="0.3">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row>
    <row r="1278" spans="1:35" x14ac:dyDescent="0.3">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row>
    <row r="1279" spans="1:35" x14ac:dyDescent="0.3">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row>
    <row r="1280" spans="1:35" x14ac:dyDescent="0.3">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row>
    <row r="1281" spans="1:35" x14ac:dyDescent="0.3">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row>
    <row r="1282" spans="1:35" x14ac:dyDescent="0.3">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row>
    <row r="1283" spans="1:35" x14ac:dyDescent="0.3">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row>
    <row r="1284" spans="1:35" x14ac:dyDescent="0.3">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row>
    <row r="1285" spans="1:35" x14ac:dyDescent="0.3">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row>
    <row r="1286" spans="1:35" x14ac:dyDescent="0.3">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row>
    <row r="1287" spans="1:35" x14ac:dyDescent="0.3">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row>
    <row r="1288" spans="1:35" x14ac:dyDescent="0.3">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row>
    <row r="1289" spans="1:35" x14ac:dyDescent="0.3">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row>
    <row r="1290" spans="1:35" x14ac:dyDescent="0.3">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row>
    <row r="1291" spans="1:35" x14ac:dyDescent="0.3">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row>
    <row r="1292" spans="1:35" x14ac:dyDescent="0.3">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row>
    <row r="1293" spans="1:35" x14ac:dyDescent="0.3">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row>
    <row r="1294" spans="1:35" x14ac:dyDescent="0.3">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row>
    <row r="1295" spans="1:35" x14ac:dyDescent="0.3">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row>
    <row r="1296" spans="1:35" x14ac:dyDescent="0.3">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row>
    <row r="1297" spans="1:35" x14ac:dyDescent="0.3">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row>
    <row r="1298" spans="1:35" x14ac:dyDescent="0.3">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row>
    <row r="1299" spans="1:35" x14ac:dyDescent="0.3">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row>
    <row r="1300" spans="1:35" x14ac:dyDescent="0.3">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row>
    <row r="1301" spans="1:35" x14ac:dyDescent="0.3">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row>
    <row r="1302" spans="1:35" x14ac:dyDescent="0.3">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row>
    <row r="1303" spans="1:35" x14ac:dyDescent="0.3">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row>
    <row r="1304" spans="1:35" x14ac:dyDescent="0.3">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row>
    <row r="1305" spans="1:35" x14ac:dyDescent="0.3">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row>
    <row r="1306" spans="1:35" x14ac:dyDescent="0.3">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row>
    <row r="1307" spans="1:35" x14ac:dyDescent="0.3">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row>
    <row r="1308" spans="1:35" x14ac:dyDescent="0.3">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row>
    <row r="1309" spans="1:35" x14ac:dyDescent="0.3">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row>
    <row r="1310" spans="1:35" x14ac:dyDescent="0.3">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row>
    <row r="1311" spans="1:35" x14ac:dyDescent="0.3">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row>
    <row r="1312" spans="1:35" x14ac:dyDescent="0.3">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row>
    <row r="1313" spans="1:35" x14ac:dyDescent="0.3">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row>
    <row r="1314" spans="1:35" x14ac:dyDescent="0.3">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row>
    <row r="1315" spans="1:35" x14ac:dyDescent="0.3">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row>
    <row r="1316" spans="1:35" x14ac:dyDescent="0.3">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row>
    <row r="1317" spans="1:35" x14ac:dyDescent="0.3">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row>
    <row r="1318" spans="1:35" x14ac:dyDescent="0.3">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row>
    <row r="1319" spans="1:35" x14ac:dyDescent="0.3">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row>
    <row r="1320" spans="1:35" x14ac:dyDescent="0.3">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row>
    <row r="1321" spans="1:35" x14ac:dyDescent="0.3">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row>
    <row r="1322" spans="1:35" x14ac:dyDescent="0.3">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row>
    <row r="1323" spans="1:35" x14ac:dyDescent="0.3">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row>
    <row r="1324" spans="1:35" x14ac:dyDescent="0.3">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row>
    <row r="1325" spans="1:35" x14ac:dyDescent="0.3">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row>
    <row r="1326" spans="1:35" x14ac:dyDescent="0.3">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row>
    <row r="1327" spans="1:35" x14ac:dyDescent="0.3">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row>
    <row r="1328" spans="1:35" x14ac:dyDescent="0.3">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row>
    <row r="1329" spans="1:35" x14ac:dyDescent="0.3">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row>
    <row r="1330" spans="1:35" x14ac:dyDescent="0.3">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row>
    <row r="1331" spans="1:35" x14ac:dyDescent="0.3">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row>
    <row r="1332" spans="1:35" x14ac:dyDescent="0.3">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row>
    <row r="1333" spans="1:35" x14ac:dyDescent="0.3">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row>
    <row r="1334" spans="1:35" x14ac:dyDescent="0.3">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row>
    <row r="1335" spans="1:35" x14ac:dyDescent="0.3">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row>
    <row r="1336" spans="1:35" x14ac:dyDescent="0.3">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row>
    <row r="1337" spans="1:35" x14ac:dyDescent="0.3">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row>
    <row r="1338" spans="1:35" x14ac:dyDescent="0.3">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row>
    <row r="1339" spans="1:35" x14ac:dyDescent="0.3">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row>
    <row r="1340" spans="1:35" x14ac:dyDescent="0.3">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row>
    <row r="1341" spans="1:35" x14ac:dyDescent="0.3">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row>
    <row r="1342" spans="1:35" x14ac:dyDescent="0.3">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row>
    <row r="1343" spans="1:35" x14ac:dyDescent="0.3">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row>
    <row r="1344" spans="1:35" x14ac:dyDescent="0.3">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row>
    <row r="1345" spans="1:35" x14ac:dyDescent="0.3">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row>
    <row r="1346" spans="1:35" x14ac:dyDescent="0.3">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row>
    <row r="1347" spans="1:35" x14ac:dyDescent="0.3">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row>
    <row r="1348" spans="1:35" x14ac:dyDescent="0.3">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row>
    <row r="1349" spans="1:35" x14ac:dyDescent="0.3">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row>
    <row r="1350" spans="1:35" x14ac:dyDescent="0.3">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row>
    <row r="1351" spans="1:35" x14ac:dyDescent="0.3">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row>
    <row r="1352" spans="1:35" x14ac:dyDescent="0.3">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row>
    <row r="1353" spans="1:35" x14ac:dyDescent="0.3">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row>
    <row r="1354" spans="1:35" x14ac:dyDescent="0.3">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row>
    <row r="1355" spans="1:35" x14ac:dyDescent="0.3">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row>
    <row r="1356" spans="1:35" x14ac:dyDescent="0.3">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row>
    <row r="1357" spans="1:35" x14ac:dyDescent="0.3">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row>
    <row r="1358" spans="1:35" x14ac:dyDescent="0.3">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row>
    <row r="1359" spans="1:35" x14ac:dyDescent="0.3">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row>
    <row r="1360" spans="1:35" x14ac:dyDescent="0.3">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row>
    <row r="1361" spans="1:35" x14ac:dyDescent="0.3">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row>
    <row r="1362" spans="1:35" x14ac:dyDescent="0.3">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row>
    <row r="1363" spans="1:35" x14ac:dyDescent="0.3">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row>
    <row r="1364" spans="1:35" x14ac:dyDescent="0.3">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row>
    <row r="1365" spans="1:35" x14ac:dyDescent="0.3">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row>
    <row r="1366" spans="1:35" x14ac:dyDescent="0.3">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row>
    <row r="1367" spans="1:35" x14ac:dyDescent="0.3">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row>
    <row r="1368" spans="1:35" x14ac:dyDescent="0.3">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row>
    <row r="1369" spans="1:35" x14ac:dyDescent="0.3">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row>
    <row r="1370" spans="1:35" x14ac:dyDescent="0.3">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row>
    <row r="1371" spans="1:35" x14ac:dyDescent="0.3">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row>
    <row r="1372" spans="1:35" x14ac:dyDescent="0.3">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row>
    <row r="1373" spans="1:35" x14ac:dyDescent="0.3">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row>
    <row r="1374" spans="1:35" x14ac:dyDescent="0.3">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row>
    <row r="1375" spans="1:35" x14ac:dyDescent="0.3">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row>
    <row r="1376" spans="1:35" x14ac:dyDescent="0.3">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row>
    <row r="1377" spans="1:35" x14ac:dyDescent="0.3">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row>
    <row r="1378" spans="1:35" x14ac:dyDescent="0.3">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row>
    <row r="1379" spans="1:35" x14ac:dyDescent="0.3">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row>
    <row r="1380" spans="1:35" x14ac:dyDescent="0.3">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row>
    <row r="1381" spans="1:35" x14ac:dyDescent="0.3">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row>
    <row r="1382" spans="1:35" x14ac:dyDescent="0.3">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row>
    <row r="1383" spans="1:35" x14ac:dyDescent="0.3">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row>
    <row r="1384" spans="1:35" x14ac:dyDescent="0.3">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row>
    <row r="1385" spans="1:35" x14ac:dyDescent="0.3">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row>
    <row r="1386" spans="1:35" x14ac:dyDescent="0.3">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row>
    <row r="1387" spans="1:35" x14ac:dyDescent="0.3">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row>
    <row r="1388" spans="1:35" x14ac:dyDescent="0.3">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row>
    <row r="1389" spans="1:35" x14ac:dyDescent="0.3">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row>
    <row r="1390" spans="1:35" x14ac:dyDescent="0.3">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row>
    <row r="1391" spans="1:35" x14ac:dyDescent="0.3">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row>
    <row r="1392" spans="1:35" x14ac:dyDescent="0.3">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row>
    <row r="1393" spans="1:35" x14ac:dyDescent="0.3">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row>
    <row r="1394" spans="1:35" x14ac:dyDescent="0.3">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row>
    <row r="1395" spans="1:35" x14ac:dyDescent="0.3">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row>
    <row r="1396" spans="1:35" x14ac:dyDescent="0.3">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row>
    <row r="1397" spans="1:35" x14ac:dyDescent="0.3">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row>
    <row r="1398" spans="1:35" x14ac:dyDescent="0.3">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row>
    <row r="1399" spans="1:35" x14ac:dyDescent="0.3">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row>
    <row r="1400" spans="1:35" x14ac:dyDescent="0.3">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row>
    <row r="1401" spans="1:35" x14ac:dyDescent="0.3">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row>
    <row r="1402" spans="1:35" x14ac:dyDescent="0.3">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row>
    <row r="1403" spans="1:35" x14ac:dyDescent="0.3">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row>
    <row r="1404" spans="1:35" x14ac:dyDescent="0.3">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row>
    <row r="1405" spans="1:35" x14ac:dyDescent="0.3">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row>
    <row r="1406" spans="1:35" x14ac:dyDescent="0.3">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row>
    <row r="1407" spans="1:35" x14ac:dyDescent="0.3">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row>
    <row r="1408" spans="1:35" x14ac:dyDescent="0.3">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row>
    <row r="1409" spans="1:35" x14ac:dyDescent="0.3">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row>
    <row r="1410" spans="1:35" x14ac:dyDescent="0.3">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row>
    <row r="1411" spans="1:35" x14ac:dyDescent="0.3">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row>
    <row r="1412" spans="1:35" x14ac:dyDescent="0.3">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row>
    <row r="1413" spans="1:35" x14ac:dyDescent="0.3">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row>
    <row r="1414" spans="1:35" x14ac:dyDescent="0.3">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row>
    <row r="1415" spans="1:35" x14ac:dyDescent="0.3">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row>
    <row r="1416" spans="1:35" x14ac:dyDescent="0.3">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row>
    <row r="1417" spans="1:35" x14ac:dyDescent="0.3">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row>
    <row r="1418" spans="1:35" x14ac:dyDescent="0.3">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row>
    <row r="1419" spans="1:35" x14ac:dyDescent="0.3">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row>
    <row r="1420" spans="1:35" x14ac:dyDescent="0.3">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row>
    <row r="1421" spans="1:35" x14ac:dyDescent="0.3">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row>
    <row r="1422" spans="1:35" x14ac:dyDescent="0.3">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row>
    <row r="1423" spans="1:35" x14ac:dyDescent="0.3">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row>
    <row r="1424" spans="1:35" x14ac:dyDescent="0.3">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row>
    <row r="1425" spans="1:35" x14ac:dyDescent="0.3">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row>
    <row r="1426" spans="1:35" x14ac:dyDescent="0.3">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row>
    <row r="1427" spans="1:35" x14ac:dyDescent="0.3">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row>
    <row r="1428" spans="1:35" x14ac:dyDescent="0.3">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row>
    <row r="1429" spans="1:35" x14ac:dyDescent="0.3">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row>
    <row r="1430" spans="1:35" x14ac:dyDescent="0.3">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row>
    <row r="1431" spans="1:35" x14ac:dyDescent="0.3">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row>
    <row r="1432" spans="1:35" x14ac:dyDescent="0.3">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row>
    <row r="1433" spans="1:35" x14ac:dyDescent="0.3">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row>
    <row r="1434" spans="1:35" x14ac:dyDescent="0.3">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row>
    <row r="1435" spans="1:35" x14ac:dyDescent="0.3">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row>
    <row r="1436" spans="1:35" x14ac:dyDescent="0.3">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row>
    <row r="1437" spans="1:35" x14ac:dyDescent="0.3">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row>
    <row r="1438" spans="1:35" x14ac:dyDescent="0.3">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row>
    <row r="1439" spans="1:35" x14ac:dyDescent="0.3">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row>
    <row r="1440" spans="1:35" x14ac:dyDescent="0.3">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row>
    <row r="1441" spans="1:35" x14ac:dyDescent="0.3">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row>
    <row r="1442" spans="1:35" x14ac:dyDescent="0.3">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row>
    <row r="1443" spans="1:35" x14ac:dyDescent="0.3">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row>
    <row r="1444" spans="1:35" x14ac:dyDescent="0.3">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row>
    <row r="1445" spans="1:35" x14ac:dyDescent="0.3">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row>
    <row r="1446" spans="1:35" x14ac:dyDescent="0.3">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row>
    <row r="1447" spans="1:35" x14ac:dyDescent="0.3">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row>
    <row r="1448" spans="1:35" x14ac:dyDescent="0.3">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row>
    <row r="1449" spans="1:35" x14ac:dyDescent="0.3">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row>
    <row r="1450" spans="1:35" x14ac:dyDescent="0.3">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row>
    <row r="1451" spans="1:35" x14ac:dyDescent="0.3">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row>
    <row r="1452" spans="1:35" x14ac:dyDescent="0.3">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row>
    <row r="1453" spans="1:35" x14ac:dyDescent="0.3">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row>
    <row r="1454" spans="1:35" x14ac:dyDescent="0.3">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row>
    <row r="1455" spans="1:35" x14ac:dyDescent="0.3">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row>
    <row r="1456" spans="1:35" x14ac:dyDescent="0.3">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row>
    <row r="1457" spans="1:35" x14ac:dyDescent="0.3">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row>
    <row r="1458" spans="1:35" x14ac:dyDescent="0.3">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row>
    <row r="1459" spans="1:35" x14ac:dyDescent="0.3">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row>
    <row r="1460" spans="1:35" x14ac:dyDescent="0.3">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row>
    <row r="1461" spans="1:35" x14ac:dyDescent="0.3">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row>
    <row r="1462" spans="1:35" x14ac:dyDescent="0.3">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row>
    <row r="1463" spans="1:35" x14ac:dyDescent="0.3">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row>
    <row r="1464" spans="1:35" x14ac:dyDescent="0.3">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row>
    <row r="1465" spans="1:35" x14ac:dyDescent="0.3">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row>
    <row r="1466" spans="1:35" x14ac:dyDescent="0.3">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row>
    <row r="1467" spans="1:35" x14ac:dyDescent="0.3">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row>
    <row r="1468" spans="1:35" x14ac:dyDescent="0.3">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row>
    <row r="1469" spans="1:35" x14ac:dyDescent="0.3">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row>
    <row r="1470" spans="1:35" x14ac:dyDescent="0.3">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row>
    <row r="1471" spans="1:35" x14ac:dyDescent="0.3">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2D4B5-57F5-456F-B023-76870706C204}">
  <dimension ref="A1:P55"/>
  <sheetViews>
    <sheetView topLeftCell="E26" zoomScale="82" zoomScaleNormal="82" workbookViewId="0">
      <selection activeCell="M35" sqref="L35:M37"/>
    </sheetView>
  </sheetViews>
  <sheetFormatPr defaultRowHeight="14.4" x14ac:dyDescent="0.3"/>
  <cols>
    <col min="1" max="1" width="13.21875" bestFit="1" customWidth="1"/>
    <col min="2" max="2" width="21.5546875" bestFit="1" customWidth="1"/>
    <col min="3" max="3" width="13.5546875" bestFit="1" customWidth="1"/>
    <col min="4" max="4" width="13.21875" bestFit="1" customWidth="1"/>
    <col min="5" max="5" width="21.5546875" bestFit="1" customWidth="1"/>
    <col min="7" max="7" width="23" bestFit="1" customWidth="1"/>
    <col min="8" max="8" width="21.5546875" bestFit="1" customWidth="1"/>
    <col min="9" max="9" width="4" bestFit="1" customWidth="1"/>
    <col min="10" max="10" width="21.88671875" bestFit="1" customWidth="1"/>
    <col min="11" max="11" width="23" bestFit="1" customWidth="1"/>
    <col min="12" max="12" width="16.5546875" bestFit="1" customWidth="1"/>
    <col min="13" max="13" width="17.5546875" bestFit="1" customWidth="1"/>
    <col min="14" max="14" width="13.21875" bestFit="1" customWidth="1"/>
    <col min="15" max="15" width="10.5546875" bestFit="1" customWidth="1"/>
    <col min="16" max="16" width="4" bestFit="1" customWidth="1"/>
  </cols>
  <sheetData>
    <row r="1" spans="1:15" x14ac:dyDescent="0.3">
      <c r="G1" s="1" t="s">
        <v>62</v>
      </c>
      <c r="H1" t="s">
        <v>65</v>
      </c>
      <c r="I1" t="s">
        <v>90</v>
      </c>
    </row>
    <row r="2" spans="1:15" x14ac:dyDescent="0.3">
      <c r="A2" t="s">
        <v>66</v>
      </c>
      <c r="B2" t="s">
        <v>64</v>
      </c>
      <c r="G2" s="2" t="s">
        <v>43</v>
      </c>
      <c r="H2" s="4">
        <v>1233</v>
      </c>
      <c r="I2" s="5">
        <v>0.83877551020408159</v>
      </c>
      <c r="K2" t="s">
        <v>79</v>
      </c>
    </row>
    <row r="3" spans="1:15" x14ac:dyDescent="0.3">
      <c r="A3" s="8">
        <v>1470</v>
      </c>
      <c r="B3" s="4">
        <v>36.923809523809524</v>
      </c>
      <c r="E3" s="6"/>
      <c r="G3" s="2" t="s">
        <v>35</v>
      </c>
      <c r="H3" s="4">
        <v>237</v>
      </c>
      <c r="I3" s="5">
        <v>0.16122448979591836</v>
      </c>
      <c r="K3" s="3">
        <v>2.7285714285714286</v>
      </c>
    </row>
    <row r="4" spans="1:15" x14ac:dyDescent="0.3">
      <c r="F4" s="4"/>
      <c r="G4" s="2" t="s">
        <v>63</v>
      </c>
      <c r="H4" s="4">
        <v>1470</v>
      </c>
      <c r="I4" s="5">
        <v>1</v>
      </c>
      <c r="J4" t="s">
        <v>80</v>
      </c>
      <c r="K4" s="3">
        <f>GETPIVOTDATA("JobSatisfaction",$K$2)</f>
        <v>2.7285714285714286</v>
      </c>
      <c r="L4" s="3">
        <f>K4/4</f>
        <v>0.68214285714285716</v>
      </c>
    </row>
    <row r="5" spans="1:15" x14ac:dyDescent="0.3">
      <c r="K5" t="s">
        <v>81</v>
      </c>
      <c r="L5" s="3">
        <f>4-K4</f>
        <v>1.2714285714285714</v>
      </c>
      <c r="M5" s="3">
        <f>L5/4</f>
        <v>0.31785714285714284</v>
      </c>
    </row>
    <row r="6" spans="1:15" x14ac:dyDescent="0.3">
      <c r="A6" s="1" t="s">
        <v>62</v>
      </c>
      <c r="B6" t="s">
        <v>66</v>
      </c>
    </row>
    <row r="7" spans="1:15" x14ac:dyDescent="0.3">
      <c r="A7" s="2" t="s">
        <v>85</v>
      </c>
      <c r="B7" s="8">
        <v>210</v>
      </c>
      <c r="D7" s="1" t="s">
        <v>62</v>
      </c>
      <c r="E7" t="s">
        <v>66</v>
      </c>
      <c r="G7" s="1" t="s">
        <v>62</v>
      </c>
      <c r="H7" t="s">
        <v>66</v>
      </c>
    </row>
    <row r="8" spans="1:15" x14ac:dyDescent="0.3">
      <c r="A8" s="2" t="s">
        <v>86</v>
      </c>
      <c r="B8" s="8">
        <v>638</v>
      </c>
      <c r="D8" s="2" t="s">
        <v>98</v>
      </c>
      <c r="E8" s="8">
        <v>393</v>
      </c>
      <c r="G8" s="2" t="s">
        <v>39</v>
      </c>
      <c r="H8" s="8">
        <v>588</v>
      </c>
    </row>
    <row r="9" spans="1:15" x14ac:dyDescent="0.3">
      <c r="A9" s="2" t="s">
        <v>87</v>
      </c>
      <c r="B9" s="8">
        <v>406</v>
      </c>
      <c r="D9" s="2" t="s">
        <v>99</v>
      </c>
      <c r="E9" s="8">
        <v>408</v>
      </c>
      <c r="G9" s="2" t="s">
        <v>46</v>
      </c>
      <c r="H9" s="8">
        <v>882</v>
      </c>
      <c r="M9" s="1" t="s">
        <v>108</v>
      </c>
      <c r="N9" s="1" t="s">
        <v>109</v>
      </c>
    </row>
    <row r="10" spans="1:15" x14ac:dyDescent="0.3">
      <c r="A10" s="2" t="s">
        <v>88</v>
      </c>
      <c r="B10" s="8">
        <v>187</v>
      </c>
      <c r="D10" s="2" t="s">
        <v>100</v>
      </c>
      <c r="E10" s="8">
        <v>431</v>
      </c>
      <c r="M10" s="1" t="s">
        <v>62</v>
      </c>
      <c r="N10" t="s">
        <v>43</v>
      </c>
      <c r="O10" t="s">
        <v>35</v>
      </c>
    </row>
    <row r="11" spans="1:15" x14ac:dyDescent="0.3">
      <c r="A11" s="2" t="s">
        <v>89</v>
      </c>
      <c r="B11" s="8">
        <v>29</v>
      </c>
      <c r="D11" s="2" t="s">
        <v>101</v>
      </c>
      <c r="E11" s="8">
        <v>238</v>
      </c>
      <c r="M11" s="2" t="s">
        <v>74</v>
      </c>
      <c r="N11" s="8">
        <v>537</v>
      </c>
      <c r="O11" s="8">
        <v>146</v>
      </c>
    </row>
    <row r="12" spans="1:15" x14ac:dyDescent="0.3">
      <c r="D12" s="2" t="s">
        <v>63</v>
      </c>
      <c r="E12" s="8">
        <v>1470</v>
      </c>
      <c r="G12" s="1" t="s">
        <v>62</v>
      </c>
      <c r="H12" t="s">
        <v>66</v>
      </c>
      <c r="J12" s="1" t="s">
        <v>62</v>
      </c>
      <c r="K12" t="s">
        <v>66</v>
      </c>
      <c r="M12" s="2" t="s">
        <v>75</v>
      </c>
      <c r="N12" s="8">
        <v>237</v>
      </c>
      <c r="O12" s="8">
        <v>34</v>
      </c>
    </row>
    <row r="13" spans="1:15" x14ac:dyDescent="0.3">
      <c r="G13" s="2" t="s">
        <v>61</v>
      </c>
      <c r="H13" s="8">
        <v>52</v>
      </c>
      <c r="J13" s="2" t="s">
        <v>61</v>
      </c>
      <c r="K13" s="8">
        <v>27</v>
      </c>
      <c r="M13" s="2" t="s">
        <v>76</v>
      </c>
      <c r="N13" s="8">
        <v>307</v>
      </c>
      <c r="O13" s="8">
        <v>45</v>
      </c>
    </row>
    <row r="14" spans="1:15" x14ac:dyDescent="0.3">
      <c r="G14" s="2" t="s">
        <v>58</v>
      </c>
      <c r="H14" s="8">
        <v>80</v>
      </c>
      <c r="J14" s="2" t="s">
        <v>49</v>
      </c>
      <c r="K14" s="8">
        <v>82</v>
      </c>
      <c r="M14" s="2" t="s">
        <v>77</v>
      </c>
      <c r="N14" s="8">
        <v>103</v>
      </c>
      <c r="O14" s="8">
        <v>10</v>
      </c>
    </row>
    <row r="15" spans="1:15" x14ac:dyDescent="0.3">
      <c r="G15" s="2" t="s">
        <v>57</v>
      </c>
      <c r="H15" s="8">
        <v>83</v>
      </c>
      <c r="J15" s="2" t="s">
        <v>60</v>
      </c>
      <c r="K15" s="8">
        <v>132</v>
      </c>
      <c r="M15" s="2" t="s">
        <v>82</v>
      </c>
      <c r="N15" s="8">
        <v>35</v>
      </c>
      <c r="O15" s="8">
        <v>2</v>
      </c>
    </row>
    <row r="16" spans="1:15" x14ac:dyDescent="0.3">
      <c r="G16" s="2" t="s">
        <v>56</v>
      </c>
      <c r="H16" s="8">
        <v>102</v>
      </c>
      <c r="J16" s="2" t="s">
        <v>59</v>
      </c>
      <c r="K16" s="8">
        <v>159</v>
      </c>
      <c r="M16" s="2" t="s">
        <v>83</v>
      </c>
      <c r="N16" s="8">
        <v>14</v>
      </c>
      <c r="O16" s="8"/>
    </row>
    <row r="17" spans="7:16" x14ac:dyDescent="0.3">
      <c r="G17" s="2" t="s">
        <v>54</v>
      </c>
      <c r="H17" s="8">
        <v>131</v>
      </c>
      <c r="J17" s="2" t="s">
        <v>51</v>
      </c>
      <c r="K17" s="8">
        <v>464</v>
      </c>
    </row>
    <row r="18" spans="7:16" x14ac:dyDescent="0.3">
      <c r="G18" s="2" t="s">
        <v>53</v>
      </c>
      <c r="H18" s="8">
        <v>145</v>
      </c>
      <c r="J18" s="2" t="s">
        <v>38</v>
      </c>
      <c r="K18" s="8">
        <v>606</v>
      </c>
    </row>
    <row r="19" spans="7:16" x14ac:dyDescent="0.3">
      <c r="G19" s="2" t="s">
        <v>50</v>
      </c>
      <c r="H19" s="8">
        <v>259</v>
      </c>
    </row>
    <row r="20" spans="7:16" x14ac:dyDescent="0.3">
      <c r="G20" s="2" t="s">
        <v>47</v>
      </c>
      <c r="H20" s="8">
        <v>292</v>
      </c>
      <c r="N20" s="1" t="s">
        <v>62</v>
      </c>
      <c r="O20" t="s">
        <v>84</v>
      </c>
    </row>
    <row r="21" spans="7:16" x14ac:dyDescent="0.3">
      <c r="G21" s="2" t="s">
        <v>40</v>
      </c>
      <c r="H21" s="8">
        <v>326</v>
      </c>
      <c r="N21" s="2" t="s">
        <v>37</v>
      </c>
      <c r="O21" s="4">
        <v>6959.17264573991</v>
      </c>
    </row>
    <row r="22" spans="7:16" x14ac:dyDescent="0.3">
      <c r="N22" s="2" t="s">
        <v>61</v>
      </c>
      <c r="O22" s="4">
        <v>6654.5079365079364</v>
      </c>
    </row>
    <row r="23" spans="7:16" x14ac:dyDescent="0.3">
      <c r="N23" s="2" t="s">
        <v>45</v>
      </c>
      <c r="O23" s="4">
        <v>6281.2528616024974</v>
      </c>
    </row>
    <row r="24" spans="7:16" x14ac:dyDescent="0.3">
      <c r="J24" s="1" t="s">
        <v>62</v>
      </c>
      <c r="K24" t="s">
        <v>66</v>
      </c>
    </row>
    <row r="25" spans="7:16" x14ac:dyDescent="0.3">
      <c r="J25" s="2" t="s">
        <v>45</v>
      </c>
      <c r="K25" s="8">
        <v>961</v>
      </c>
    </row>
    <row r="26" spans="7:16" x14ac:dyDescent="0.3">
      <c r="G26" s="1" t="s">
        <v>62</v>
      </c>
      <c r="H26" t="s">
        <v>66</v>
      </c>
      <c r="J26" s="2" t="s">
        <v>37</v>
      </c>
      <c r="K26" s="8">
        <v>446</v>
      </c>
      <c r="N26" s="1" t="s">
        <v>107</v>
      </c>
      <c r="O26" s="1" t="s">
        <v>109</v>
      </c>
    </row>
    <row r="27" spans="7:16" x14ac:dyDescent="0.3">
      <c r="G27" s="2" t="s">
        <v>52</v>
      </c>
      <c r="H27" s="8">
        <v>327</v>
      </c>
      <c r="J27" s="2" t="s">
        <v>61</v>
      </c>
      <c r="K27" s="8">
        <v>63</v>
      </c>
      <c r="N27" s="1" t="s">
        <v>62</v>
      </c>
      <c r="O27" t="s">
        <v>43</v>
      </c>
      <c r="P27" t="s">
        <v>35</v>
      </c>
    </row>
    <row r="28" spans="7:16" x14ac:dyDescent="0.3">
      <c r="G28" s="2" t="s">
        <v>48</v>
      </c>
      <c r="H28" s="8">
        <v>673</v>
      </c>
      <c r="N28" s="2" t="s">
        <v>91</v>
      </c>
      <c r="O28" s="4">
        <v>407</v>
      </c>
      <c r="P28" s="4">
        <v>137</v>
      </c>
    </row>
    <row r="29" spans="7:16" x14ac:dyDescent="0.3">
      <c r="G29" s="2" t="s">
        <v>41</v>
      </c>
      <c r="H29" s="8">
        <v>470</v>
      </c>
      <c r="N29" s="2" t="s">
        <v>92</v>
      </c>
      <c r="O29" s="4">
        <v>439</v>
      </c>
      <c r="P29" s="4">
        <v>53</v>
      </c>
    </row>
    <row r="30" spans="7:16" x14ac:dyDescent="0.3">
      <c r="N30" s="2" t="s">
        <v>93</v>
      </c>
      <c r="O30" s="4">
        <v>131</v>
      </c>
      <c r="P30" s="4">
        <v>23</v>
      </c>
    </row>
    <row r="31" spans="7:16" x14ac:dyDescent="0.3">
      <c r="N31" s="2" t="s">
        <v>94</v>
      </c>
      <c r="O31" s="4">
        <v>80</v>
      </c>
      <c r="P31" s="4">
        <v>15</v>
      </c>
    </row>
    <row r="32" spans="7:16" x14ac:dyDescent="0.3">
      <c r="N32" s="2" t="s">
        <v>95</v>
      </c>
      <c r="O32" s="4">
        <v>55</v>
      </c>
      <c r="P32" s="4">
        <v>4</v>
      </c>
    </row>
    <row r="33" spans="7:16" x14ac:dyDescent="0.3">
      <c r="N33" s="2" t="s">
        <v>96</v>
      </c>
      <c r="O33" s="4">
        <v>75</v>
      </c>
      <c r="P33" s="4">
        <v>1</v>
      </c>
    </row>
    <row r="34" spans="7:16" x14ac:dyDescent="0.3">
      <c r="G34" s="1" t="s">
        <v>106</v>
      </c>
      <c r="H34" t="s">
        <v>66</v>
      </c>
      <c r="N34" s="2" t="s">
        <v>97</v>
      </c>
      <c r="O34" s="4">
        <v>46</v>
      </c>
      <c r="P34" s="4">
        <v>4</v>
      </c>
    </row>
    <row r="35" spans="7:16" x14ac:dyDescent="0.3">
      <c r="G35" s="2" t="s">
        <v>55</v>
      </c>
      <c r="H35" s="8">
        <v>150</v>
      </c>
    </row>
    <row r="36" spans="7:16" x14ac:dyDescent="0.3">
      <c r="G36" s="2" t="s">
        <v>44</v>
      </c>
      <c r="H36" s="8">
        <v>277</v>
      </c>
    </row>
    <row r="37" spans="7:16" x14ac:dyDescent="0.3">
      <c r="G37" s="2" t="s">
        <v>36</v>
      </c>
      <c r="H37" s="8">
        <v>1043</v>
      </c>
    </row>
    <row r="40" spans="7:16" x14ac:dyDescent="0.3">
      <c r="G40" s="1" t="s">
        <v>105</v>
      </c>
      <c r="H40" s="1" t="s">
        <v>67</v>
      </c>
    </row>
    <row r="41" spans="7:16" x14ac:dyDescent="0.3">
      <c r="G41" s="1" t="s">
        <v>62</v>
      </c>
      <c r="H41" t="s">
        <v>43</v>
      </c>
      <c r="I41" t="s">
        <v>35</v>
      </c>
    </row>
    <row r="42" spans="7:16" x14ac:dyDescent="0.3">
      <c r="G42" s="2" t="s">
        <v>43</v>
      </c>
      <c r="H42" s="8">
        <v>944</v>
      </c>
      <c r="I42" s="8">
        <v>110</v>
      </c>
    </row>
    <row r="43" spans="7:16" x14ac:dyDescent="0.3">
      <c r="G43" s="2" t="s">
        <v>35</v>
      </c>
      <c r="H43" s="8">
        <v>289</v>
      </c>
      <c r="I43" s="8">
        <v>127</v>
      </c>
    </row>
    <row r="45" spans="7:16" x14ac:dyDescent="0.3">
      <c r="G45" s="1" t="s">
        <v>104</v>
      </c>
      <c r="H45" s="1" t="s">
        <v>67</v>
      </c>
      <c r="K45" s="1" t="s">
        <v>103</v>
      </c>
      <c r="L45" s="1" t="s">
        <v>67</v>
      </c>
      <c r="N45" s="1" t="s">
        <v>102</v>
      </c>
      <c r="O45" s="1" t="s">
        <v>109</v>
      </c>
    </row>
    <row r="46" spans="7:16" x14ac:dyDescent="0.3">
      <c r="G46" s="1" t="s">
        <v>62</v>
      </c>
      <c r="H46" t="s">
        <v>43</v>
      </c>
      <c r="I46" t="s">
        <v>35</v>
      </c>
      <c r="K46" s="1" t="s">
        <v>62</v>
      </c>
      <c r="L46" t="s">
        <v>35</v>
      </c>
      <c r="N46" s="1" t="s">
        <v>62</v>
      </c>
      <c r="O46" t="s">
        <v>43</v>
      </c>
      <c r="P46" t="s">
        <v>35</v>
      </c>
    </row>
    <row r="47" spans="7:16" x14ac:dyDescent="0.3">
      <c r="G47" s="2" t="s">
        <v>74</v>
      </c>
      <c r="H47" s="8">
        <v>911</v>
      </c>
      <c r="I47" s="8">
        <v>186</v>
      </c>
      <c r="K47" s="2" t="s">
        <v>50</v>
      </c>
      <c r="L47" s="8">
        <v>62</v>
      </c>
      <c r="N47" s="2" t="s">
        <v>68</v>
      </c>
      <c r="O47" s="8">
        <v>545</v>
      </c>
      <c r="P47" s="8">
        <v>87</v>
      </c>
    </row>
    <row r="48" spans="7:16" x14ac:dyDescent="0.3">
      <c r="G48" s="2" t="s">
        <v>75</v>
      </c>
      <c r="H48" s="8">
        <v>142</v>
      </c>
      <c r="I48" s="8">
        <v>16</v>
      </c>
      <c r="K48" s="2" t="s">
        <v>40</v>
      </c>
      <c r="L48" s="8">
        <v>57</v>
      </c>
      <c r="N48" s="2" t="s">
        <v>69</v>
      </c>
      <c r="O48" s="8">
        <v>337</v>
      </c>
      <c r="P48" s="8">
        <v>57</v>
      </c>
    </row>
    <row r="49" spans="7:16" x14ac:dyDescent="0.3">
      <c r="G49" s="2" t="s">
        <v>76</v>
      </c>
      <c r="H49" s="8">
        <v>104</v>
      </c>
      <c r="I49" s="8">
        <v>22</v>
      </c>
      <c r="K49" s="2" t="s">
        <v>47</v>
      </c>
      <c r="L49" s="8">
        <v>47</v>
      </c>
      <c r="N49" s="2" t="s">
        <v>70</v>
      </c>
      <c r="O49" s="8">
        <v>90</v>
      </c>
      <c r="P49" s="8">
        <v>25</v>
      </c>
    </row>
    <row r="50" spans="7:16" x14ac:dyDescent="0.3">
      <c r="G50" s="2" t="s">
        <v>77</v>
      </c>
      <c r="H50" s="8">
        <v>40</v>
      </c>
      <c r="I50" s="8">
        <v>7</v>
      </c>
      <c r="K50" s="2" t="s">
        <v>57</v>
      </c>
      <c r="L50" s="8">
        <v>33</v>
      </c>
      <c r="N50" s="2" t="s">
        <v>71</v>
      </c>
      <c r="O50" s="8">
        <v>102</v>
      </c>
      <c r="P50" s="8">
        <v>23</v>
      </c>
    </row>
    <row r="51" spans="7:16" x14ac:dyDescent="0.3">
      <c r="G51" s="2" t="s">
        <v>78</v>
      </c>
      <c r="H51" s="8">
        <v>36</v>
      </c>
      <c r="I51" s="8">
        <v>6</v>
      </c>
      <c r="K51" s="2" t="s">
        <v>61</v>
      </c>
      <c r="L51" s="8">
        <v>12</v>
      </c>
      <c r="N51" s="2" t="s">
        <v>72</v>
      </c>
      <c r="O51" s="8">
        <v>85</v>
      </c>
      <c r="P51" s="8">
        <v>32</v>
      </c>
    </row>
    <row r="52" spans="7:16" x14ac:dyDescent="0.3">
      <c r="K52" s="2" t="s">
        <v>53</v>
      </c>
      <c r="L52" s="8">
        <v>10</v>
      </c>
      <c r="N52" s="2" t="s">
        <v>73</v>
      </c>
      <c r="O52" s="8">
        <v>74</v>
      </c>
      <c r="P52" s="8">
        <v>13</v>
      </c>
    </row>
    <row r="53" spans="7:16" x14ac:dyDescent="0.3">
      <c r="K53" s="2" t="s">
        <v>54</v>
      </c>
      <c r="L53" s="8">
        <v>9</v>
      </c>
    </row>
    <row r="54" spans="7:16" x14ac:dyDescent="0.3">
      <c r="K54" s="2" t="s">
        <v>56</v>
      </c>
      <c r="L54" s="8">
        <v>5</v>
      </c>
    </row>
    <row r="55" spans="7:16" x14ac:dyDescent="0.3">
      <c r="K55" s="2" t="s">
        <v>58</v>
      </c>
      <c r="L55" s="8">
        <v>2</v>
      </c>
    </row>
  </sheetData>
  <pageMargins left="0.7" right="0.7" top="0.75" bottom="0.75" header="0.3" footer="0.3"/>
  <drawing r:id="rId20"/>
  <extLst>
    <ext xmlns:x14="http://schemas.microsoft.com/office/spreadsheetml/2009/9/main" uri="{A8765BA9-456A-4dab-B4F3-ACF838C121DE}">
      <x14:slicerList>
        <x14:slicer r:id="rId2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0C090-84E3-4907-95C2-1D9D7C761837}">
  <dimension ref="A6:B9"/>
  <sheetViews>
    <sheetView showGridLines="0" showRowColHeaders="0" zoomScale="75" zoomScaleNormal="75" workbookViewId="0">
      <selection activeCell="A6" sqref="A6"/>
      <extLst>
        <ext xmlns:xlsdti="http://schemas.microsoft.com/office/spreadsheetml/2023/showDataTypeIcons" uri="{77bfe23e-c014-4d31-8a63-9c772dbf06b6}">
          <xlsdti:showDataTypeIcons visible="0"/>
        </ext>
      </extLst>
    </sheetView>
  </sheetViews>
  <sheetFormatPr defaultRowHeight="14.4" x14ac:dyDescent="0.3"/>
  <sheetData>
    <row r="6" spans="1:2" x14ac:dyDescent="0.3">
      <c r="A6" t="s">
        <v>110</v>
      </c>
    </row>
    <row r="9" spans="1:2" x14ac:dyDescent="0.3">
      <c r="B9"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A5CB5-8426-49CA-811D-0B7A3AD1995D}">
  <dimension ref="B9"/>
  <sheetViews>
    <sheetView showGridLines="0" showRowColHeaders="0" tabSelected="1" zoomScale="74" zoomScaleNormal="74" workbookViewId="0">
      <extLst>
        <ext xmlns:xlsdti="http://schemas.microsoft.com/office/spreadsheetml/2023/showDataTypeIcons" uri="{77bfe23e-c014-4d31-8a63-9c772dbf06b6}">
          <xlsdti:showDataTypeIcons visible="0"/>
        </ext>
      </extLst>
    </sheetView>
  </sheetViews>
  <sheetFormatPr defaultRowHeight="14.4" x14ac:dyDescent="0.3"/>
  <sheetData>
    <row r="9" spans="2:2" x14ac:dyDescent="0.3">
      <c r="B9"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FBD902F0-C49F-463C-A070-DBDC6310E981}">
  <ds:schemaRefs>
    <ds:schemaRef ds:uri="http://schemas.microsoft.com/DataMashup"/>
  </ds:schemaRefs>
</ds:datastoreItem>
</file>

<file path=customXml/itemProps2.xml><?xml version="1.0" encoding="utf-8"?>
<ds:datastoreItem xmlns:ds="http://schemas.openxmlformats.org/officeDocument/2006/customXml" ds:itemID="{DC5CDC6B-F87B-4694-B176-94B93BC11FC0}">
  <ds:schemaRefs/>
</ds:datastoreItem>
</file>

<file path=customXml/itemProps3.xml><?xml version="1.0" encoding="utf-8"?>
<ds:datastoreItem xmlns:ds="http://schemas.openxmlformats.org/officeDocument/2006/customXml" ds:itemID="{F72E4BF8-F5EA-475F-B776-DD5E019D0F11}">
  <ds:schemaRefs/>
</ds:datastoreItem>
</file>

<file path=customXml/itemProps4.xml><?xml version="1.0" encoding="utf-8"?>
<ds:datastoreItem xmlns:ds="http://schemas.openxmlformats.org/officeDocument/2006/customXml" ds:itemID="{5C366C60-D864-4BA6-BF16-5E99D8FC7093}">
  <ds:schemaRefs/>
</ds:datastoreItem>
</file>

<file path=customXml/itemProps5.xml><?xml version="1.0" encoding="utf-8"?>
<ds:datastoreItem xmlns:ds="http://schemas.openxmlformats.org/officeDocument/2006/customXml" ds:itemID="{F9C346F0-D51B-4B81-B32D-5A0820CB1EBA}">
  <ds:schemaRefs/>
</ds:datastoreItem>
</file>

<file path=customXml/itemProps6.xml><?xml version="1.0" encoding="utf-8"?>
<ds:datastoreItem xmlns:ds="http://schemas.openxmlformats.org/officeDocument/2006/customXml" ds:itemID="{9A5C89B0-76C6-42C7-8C24-B978DF10D0D6}">
  <ds:schemaRefs/>
</ds:datastoreItem>
</file>

<file path=customXml/itemProps7.xml><?xml version="1.0" encoding="utf-8"?>
<ds:datastoreItem xmlns:ds="http://schemas.openxmlformats.org/officeDocument/2006/customXml" ds:itemID="{2FF7EB31-26FE-4C8E-B843-C4AB21901000}">
  <ds:schemaRefs/>
</ds:datastoreItem>
</file>

<file path=customXml/itemProps8.xml><?xml version="1.0" encoding="utf-8"?>
<ds:datastoreItem xmlns:ds="http://schemas.openxmlformats.org/officeDocument/2006/customXml" ds:itemID="{A4C8B338-B6C0-4CFE-8B8D-8D30FC4B7CAA}">
  <ds:schemaRefs/>
</ds:datastoreItem>
</file>

<file path=customXml/itemProps9.xml><?xml version="1.0" encoding="utf-8"?>
<ds:datastoreItem xmlns:ds="http://schemas.openxmlformats.org/officeDocument/2006/customXml" ds:itemID="{4D07E2A1-61B9-4EBF-AFBF-958FAF47F542}">
  <ds:schemaRefs/>
</ds:datastoreItem>
</file>

<file path=customXml/itemProps10.xml><?xml version="1.0" encoding="utf-8"?>
<ds:datastoreItem xmlns:ds="http://schemas.openxmlformats.org/officeDocument/2006/customXml" ds:itemID="{2EDE9033-447E-4962-A872-52D72B176231}">
  <ds:schemaRefs/>
</ds:datastoreItem>
</file>

<file path=customXml/itemProps11.xml><?xml version="1.0" encoding="utf-8"?>
<ds:datastoreItem xmlns:ds="http://schemas.openxmlformats.org/officeDocument/2006/customXml" ds:itemID="{1E46FA63-525C-4504-9B04-A8831C522E8F}">
  <ds:schemaRefs/>
</ds:datastoreItem>
</file>

<file path=customXml/itemProps12.xml><?xml version="1.0" encoding="utf-8"?>
<ds:datastoreItem xmlns:ds="http://schemas.openxmlformats.org/officeDocument/2006/customXml" ds:itemID="{398C0384-9446-4394-8326-42F30316BB46}">
  <ds:schemaRefs/>
</ds:datastoreItem>
</file>

<file path=customXml/itemProps13.xml><?xml version="1.0" encoding="utf-8"?>
<ds:datastoreItem xmlns:ds="http://schemas.openxmlformats.org/officeDocument/2006/customXml" ds:itemID="{2CFAF6F5-7D69-43D9-B504-C2DEB27C2299}">
  <ds:schemaRefs/>
</ds:datastoreItem>
</file>

<file path=customXml/itemProps14.xml><?xml version="1.0" encoding="utf-8"?>
<ds:datastoreItem xmlns:ds="http://schemas.openxmlformats.org/officeDocument/2006/customXml" ds:itemID="{5E9CF461-E758-40FC-85FC-045D95E84B8C}">
  <ds:schemaRefs/>
</ds:datastoreItem>
</file>

<file path=customXml/itemProps15.xml><?xml version="1.0" encoding="utf-8"?>
<ds:datastoreItem xmlns:ds="http://schemas.openxmlformats.org/officeDocument/2006/customXml" ds:itemID="{11D10447-1118-4EEF-B794-14EE3468DB48}">
  <ds:schemaRefs/>
</ds:datastoreItem>
</file>

<file path=customXml/itemProps16.xml><?xml version="1.0" encoding="utf-8"?>
<ds:datastoreItem xmlns:ds="http://schemas.openxmlformats.org/officeDocument/2006/customXml" ds:itemID="{F9B4705D-889D-4352-89C1-EF9566034BD6}">
  <ds:schemaRefs/>
</ds:datastoreItem>
</file>

<file path=customXml/itemProps17.xml><?xml version="1.0" encoding="utf-8"?>
<ds:datastoreItem xmlns:ds="http://schemas.openxmlformats.org/officeDocument/2006/customXml" ds:itemID="{C5758B78-62C8-4DE2-B2C6-C5FA5660BF9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WA_Fn-UseC_-HR-Employee-Attriti</vt:lpstr>
      <vt:lpstr>Pivot table</vt:lpstr>
      <vt:lpstr>Dashboard</vt:lpstr>
      <vt:lpstr>Dashboard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محمد عبدالغنى الدسوقى محمد حامد</dc:creator>
  <cp:lastModifiedBy>محمد عبدالغنى الدسوقى محمد حامد</cp:lastModifiedBy>
  <dcterms:created xsi:type="dcterms:W3CDTF">2026-04-11T16:59:35Z</dcterms:created>
  <dcterms:modified xsi:type="dcterms:W3CDTF">2026-04-13T01:54:46Z</dcterms:modified>
</cp:coreProperties>
</file>